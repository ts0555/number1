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udent\Documents\応募書類_テンプレート\"/>
    </mc:Choice>
  </mc:AlternateContent>
  <bookViews>
    <workbookView xWindow="1860" yWindow="0" windowWidth="19560" windowHeight="7770"/>
  </bookViews>
  <sheets>
    <sheet name="※当Excel概要" sheetId="11" r:id="rId1"/>
    <sheet name="※当Excel説明" sheetId="10" r:id="rId2"/>
    <sheet name="2021年07月期" sheetId="9" r:id="rId3"/>
    <sheet name="2021年08月期" sheetId="8" r:id="rId4"/>
    <sheet name="2021年09月期" sheetId="7" r:id="rId5"/>
    <sheet name="テーブル" sheetId="2" r:id="rId6"/>
    <sheet name="テンプレート" sheetId="3" r:id="rId7"/>
  </sheets>
  <functionGroups builtInGroupCount="18"/>
  <calcPr calcId="162913"/>
</workbook>
</file>

<file path=xl/calcChain.xml><?xml version="1.0" encoding="utf-8"?>
<calcChain xmlns="http://schemas.openxmlformats.org/spreadsheetml/2006/main">
  <c r="G9" i="10" l="1"/>
  <c r="G8" i="10"/>
  <c r="H5" i="10"/>
  <c r="E5" i="10"/>
  <c r="G8" i="9"/>
  <c r="G9" i="9"/>
  <c r="G9" i="8"/>
  <c r="G8" i="8"/>
  <c r="G5" i="10" l="1"/>
  <c r="G8" i="7"/>
  <c r="G9" i="7"/>
  <c r="G9" i="3" l="1"/>
  <c r="H5" i="9" l="1"/>
  <c r="E5" i="9"/>
  <c r="G5" i="8"/>
  <c r="H5" i="8"/>
  <c r="E5" i="8"/>
  <c r="G5" i="7"/>
  <c r="H5" i="7"/>
  <c r="E5" i="7"/>
  <c r="G5" i="9" l="1"/>
  <c r="H5" i="3"/>
  <c r="G8" i="3"/>
  <c r="G5" i="3" s="1"/>
  <c r="E5" i="3"/>
  <c r="C12" i="2"/>
  <c r="C11" i="2"/>
  <c r="C10" i="2"/>
  <c r="C9" i="2"/>
  <c r="C8" i="2"/>
  <c r="C7" i="2"/>
  <c r="C6" i="2"/>
  <c r="C5" i="2"/>
  <c r="C4" i="2"/>
  <c r="F9" i="10" l="1"/>
  <c r="F8" i="7"/>
  <c r="F8" i="8"/>
  <c r="F8" i="10"/>
  <c r="F5" i="10" s="1"/>
  <c r="C5" i="10" s="1"/>
  <c r="F9" i="8"/>
  <c r="F9" i="7"/>
  <c r="F8" i="9"/>
  <c r="F9" i="9"/>
  <c r="F9" i="3"/>
  <c r="F8" i="3"/>
  <c r="F5" i="3" s="1"/>
  <c r="C5" i="3" s="1"/>
  <c r="F5" i="9" l="1"/>
  <c r="C5" i="9" s="1"/>
  <c r="F5" i="7"/>
  <c r="C5" i="7" s="1"/>
  <c r="F5" i="8"/>
  <c r="C5" i="8" s="1"/>
</calcChain>
</file>

<file path=xl/sharedStrings.xml><?xml version="1.0" encoding="utf-8"?>
<sst xmlns="http://schemas.openxmlformats.org/spreadsheetml/2006/main" count="117" uniqueCount="52">
  <si>
    <t>月期サイクル</t>
    <rPh sb="0" eb="1">
      <t>ガツ</t>
    </rPh>
    <rPh sb="1" eb="2">
      <t>キ</t>
    </rPh>
    <phoneticPr fontId="4"/>
  </si>
  <si>
    <t>支払者+実際の支払者</t>
    <rPh sb="0" eb="2">
      <t>シハライ</t>
    </rPh>
    <rPh sb="2" eb="3">
      <t>シャ</t>
    </rPh>
    <rPh sb="4" eb="6">
      <t>ジッサイ</t>
    </rPh>
    <rPh sb="7" eb="9">
      <t>シハラ</t>
    </rPh>
    <rPh sb="9" eb="10">
      <t>シャ</t>
    </rPh>
    <phoneticPr fontId="4"/>
  </si>
  <si>
    <t>支払者</t>
    <rPh sb="0" eb="2">
      <t>シハライ</t>
    </rPh>
    <rPh sb="2" eb="3">
      <t>シャ</t>
    </rPh>
    <phoneticPr fontId="4"/>
  </si>
  <si>
    <t>実際の支払者</t>
    <rPh sb="0" eb="2">
      <t>ジッサイ</t>
    </rPh>
    <rPh sb="3" eb="5">
      <t>シハラ</t>
    </rPh>
    <rPh sb="5" eb="6">
      <t>シャ</t>
    </rPh>
    <phoneticPr fontId="4"/>
  </si>
  <si>
    <t>倍率係数</t>
    <rPh sb="0" eb="2">
      <t>バイリツ</t>
    </rPh>
    <rPh sb="2" eb="4">
      <t>ケイスウ</t>
    </rPh>
    <phoneticPr fontId="4"/>
  </si>
  <si>
    <t>当月16日~翌月15日</t>
    <rPh sb="0" eb="2">
      <t>トウゲツ</t>
    </rPh>
    <rPh sb="4" eb="5">
      <t>ニチ</t>
    </rPh>
    <rPh sb="6" eb="8">
      <t>ヨクゲツ</t>
    </rPh>
    <rPh sb="10" eb="11">
      <t>ニチ</t>
    </rPh>
    <phoneticPr fontId="4"/>
  </si>
  <si>
    <t>二人に</t>
    <rPh sb="0" eb="2">
      <t>フタリ</t>
    </rPh>
    <phoneticPr fontId="4"/>
  </si>
  <si>
    <t>注意事項</t>
    <rPh sb="0" eb="2">
      <t>チュウイ</t>
    </rPh>
    <rPh sb="2" eb="4">
      <t>ジコウ</t>
    </rPh>
    <phoneticPr fontId="4"/>
  </si>
  <si>
    <t>二人で</t>
    <rPh sb="0" eb="2">
      <t>フタリ</t>
    </rPh>
    <phoneticPr fontId="4"/>
  </si>
  <si>
    <t>ページごとのコピーではテーブル参照先がおかしくなる。</t>
  </si>
  <si>
    <t>交通費は実際の使用額をその都度メモするのではなく、</t>
    <rPh sb="0" eb="3">
      <t>コウツウヒ</t>
    </rPh>
    <rPh sb="4" eb="6">
      <t>ジッサイ</t>
    </rPh>
    <rPh sb="7" eb="9">
      <t>シヨウ</t>
    </rPh>
    <rPh sb="9" eb="10">
      <t>ガク</t>
    </rPh>
    <rPh sb="13" eb="15">
      <t>ツド</t>
    </rPh>
    <phoneticPr fontId="4"/>
  </si>
  <si>
    <t>Suicaへのチャージ額をメモする。</t>
  </si>
  <si>
    <t>そのほうがメモ回数が少ないし、事故が起こりにくい。</t>
  </si>
  <si>
    <t>精算が足し引きを間違えやすい。</t>
    <rPh sb="0" eb="2">
      <t>セイサン</t>
    </rPh>
    <rPh sb="3" eb="4">
      <t>タ</t>
    </rPh>
    <rPh sb="5" eb="6">
      <t>ヒ</t>
    </rPh>
    <rPh sb="8" eb="10">
      <t>マチガ</t>
    </rPh>
    <phoneticPr fontId="4"/>
  </si>
  <si>
    <t>良い手段を思いつけば直す。</t>
    <rPh sb="0" eb="1">
      <t>イ</t>
    </rPh>
    <rPh sb="2" eb="4">
      <t>シュダン</t>
    </rPh>
    <rPh sb="5" eb="6">
      <t>オモ</t>
    </rPh>
    <rPh sb="10" eb="11">
      <t>ナオ</t>
    </rPh>
    <phoneticPr fontId="4"/>
  </si>
  <si>
    <t>年</t>
    <rPh sb="0" eb="1">
      <t>ネン</t>
    </rPh>
    <phoneticPr fontId="4"/>
  </si>
  <si>
    <t>月期</t>
    <rPh sb="0" eb="1">
      <t>ガツ</t>
    </rPh>
    <rPh sb="1" eb="2">
      <t>キ</t>
    </rPh>
    <phoneticPr fontId="4"/>
  </si>
  <si>
    <t>清算残額</t>
    <rPh sb="0" eb="2">
      <t>セイサン</t>
    </rPh>
    <rPh sb="2" eb="4">
      <t>ザンガク</t>
    </rPh>
    <phoneticPr fontId="4"/>
  </si>
  <si>
    <t>清算済額</t>
    <rPh sb="0" eb="2">
      <t>セイサン</t>
    </rPh>
    <rPh sb="2" eb="3">
      <t>スミ</t>
    </rPh>
    <rPh sb="3" eb="4">
      <t>ガク</t>
    </rPh>
    <phoneticPr fontId="4"/>
  </si>
  <si>
    <t>出費合計</t>
    <rPh sb="0" eb="2">
      <t>シュッピ</t>
    </rPh>
    <rPh sb="2" eb="4">
      <t>ゴウケイ</t>
    </rPh>
    <phoneticPr fontId="4"/>
  </si>
  <si>
    <t>価格</t>
  </si>
  <si>
    <t>支払</t>
  </si>
  <si>
    <t>実際</t>
  </si>
  <si>
    <t>精算</t>
    <rPh sb="0" eb="2">
      <t>セイサン</t>
    </rPh>
    <phoneticPr fontId="4"/>
  </si>
  <si>
    <t>備考</t>
  </si>
  <si>
    <t>自分</t>
  </si>
  <si>
    <t>自分</t>
    <rPh sb="0" eb="2">
      <t>ジブン</t>
    </rPh>
    <phoneticPr fontId="3"/>
  </si>
  <si>
    <t>相手</t>
  </si>
  <si>
    <t>相手</t>
    <rPh sb="0" eb="2">
      <t>アイテ</t>
    </rPh>
    <phoneticPr fontId="3"/>
  </si>
  <si>
    <t>相手支払</t>
    <rPh sb="0" eb="2">
      <t>アイテ</t>
    </rPh>
    <rPh sb="2" eb="4">
      <t>シハラ</t>
    </rPh>
    <phoneticPr fontId="4"/>
  </si>
  <si>
    <t>相手支払</t>
    <rPh sb="2" eb="4">
      <t>シハラ</t>
    </rPh>
    <phoneticPr fontId="4"/>
  </si>
  <si>
    <t>倍率係数 相手</t>
    <rPh sb="0" eb="2">
      <t>バイリツ</t>
    </rPh>
    <rPh sb="2" eb="4">
      <t>ケイスウ</t>
    </rPh>
    <phoneticPr fontId="4"/>
  </si>
  <si>
    <t>相手に</t>
    <phoneticPr fontId="4"/>
  </si>
  <si>
    <t>相手が</t>
    <phoneticPr fontId="4"/>
  </si>
  <si>
    <t>相手に</t>
    <phoneticPr fontId="4"/>
  </si>
  <si>
    <t>自分が</t>
  </si>
  <si>
    <t>自分に</t>
  </si>
  <si>
    <t>ファイル自分ごとをコピーしてから作り変えること。</t>
    <rPh sb="16" eb="17">
      <t>ツク</t>
    </rPh>
    <rPh sb="18" eb="19">
      <t>カ</t>
    </rPh>
    <phoneticPr fontId="4"/>
  </si>
  <si>
    <t>倍率係数 自分</t>
    <rPh sb="0" eb="2">
      <t>バイリツ</t>
    </rPh>
    <rPh sb="2" eb="4">
      <t>ケイスウ</t>
    </rPh>
    <phoneticPr fontId="4"/>
  </si>
  <si>
    <t>シートのテーブル指定を美しくコピーしたい。</t>
    <rPh sb="8" eb="10">
      <t>シテイ</t>
    </rPh>
    <rPh sb="11" eb="12">
      <t>ウツク</t>
    </rPh>
    <phoneticPr fontId="3"/>
  </si>
  <si>
    <t>概要</t>
    <rPh sb="0" eb="2">
      <t>ガイヨウ</t>
    </rPh>
    <phoneticPr fontId="3"/>
  </si>
  <si>
    <t>添付理由</t>
    <rPh sb="0" eb="2">
      <t>テンプ</t>
    </rPh>
    <rPh sb="2" eb="4">
      <t>リユウ</t>
    </rPh>
    <phoneticPr fontId="3"/>
  </si>
  <si>
    <t>VBA内容</t>
    <rPh sb="3" eb="5">
      <t>ナイヨウ</t>
    </rPh>
    <phoneticPr fontId="3"/>
  </si>
  <si>
    <t>を行うマクロです。</t>
    <rPh sb="1" eb="2">
      <t>オコナ</t>
    </rPh>
    <phoneticPr fontId="3"/>
  </si>
  <si>
    <t>●現在のブックを所定の位置にコピー、ブック名を今後三ヶ月分のものに変更</t>
    <rPh sb="1" eb="3">
      <t>ゲンザイ</t>
    </rPh>
    <rPh sb="8" eb="10">
      <t>ショテイ</t>
    </rPh>
    <rPh sb="11" eb="13">
      <t>イチ</t>
    </rPh>
    <rPh sb="21" eb="22">
      <t>メイ</t>
    </rPh>
    <rPh sb="23" eb="25">
      <t>コンゴ</t>
    </rPh>
    <rPh sb="25" eb="29">
      <t>サンカゲ</t>
    </rPh>
    <rPh sb="33" eb="35">
      <t>ヘンコウ</t>
    </rPh>
    <phoneticPr fontId="3"/>
  </si>
  <si>
    <t>●「テンプレート」シートをコピー、内容を今後三ヶ月分の精算表に書き換え</t>
    <rPh sb="17" eb="19">
      <t>ナイヨウ</t>
    </rPh>
    <rPh sb="20" eb="22">
      <t>コンゴ</t>
    </rPh>
    <rPh sb="22" eb="26">
      <t>サンカゲツブン</t>
    </rPh>
    <rPh sb="27" eb="30">
      <t>セイサンヒョウ</t>
    </rPh>
    <rPh sb="31" eb="32">
      <t>カ</t>
    </rPh>
    <rPh sb="33" eb="34">
      <t>カ</t>
    </rPh>
    <phoneticPr fontId="3"/>
  </si>
  <si>
    <t>●デスクトップに新規ブックのショートカットを作成</t>
    <rPh sb="8" eb="10">
      <t>シンキ</t>
    </rPh>
    <rPh sb="22" eb="24">
      <t>サクセイ</t>
    </rPh>
    <phoneticPr fontId="3"/>
  </si>
  <si>
    <t>●旧ファイルのショートカットを削除</t>
    <rPh sb="1" eb="2">
      <t>キュウ</t>
    </rPh>
    <rPh sb="15" eb="17">
      <t>サクジョ</t>
    </rPh>
    <phoneticPr fontId="3"/>
  </si>
  <si>
    <r>
      <t>これにより、手間のかかる</t>
    </r>
    <r>
      <rPr>
        <b/>
        <sz val="11"/>
        <color theme="1"/>
        <rFont val="游ゴシック"/>
        <family val="3"/>
        <charset val="128"/>
      </rPr>
      <t>新規ファイルへの置き換え</t>
    </r>
    <r>
      <rPr>
        <sz val="11"/>
        <color theme="1"/>
        <rFont val="游ゴシック"/>
        <family val="2"/>
        <charset val="128"/>
      </rPr>
      <t>を</t>
    </r>
    <r>
      <rPr>
        <b/>
        <sz val="11"/>
        <color theme="1"/>
        <rFont val="游ゴシック"/>
        <family val="3"/>
        <charset val="128"/>
      </rPr>
      <t>ワンボタン</t>
    </r>
    <r>
      <rPr>
        <sz val="11"/>
        <color theme="1"/>
        <rFont val="游ゴシック"/>
        <family val="2"/>
        <charset val="128"/>
      </rPr>
      <t>で済ませることができます。</t>
    </r>
    <rPh sb="6" eb="8">
      <t>テマ</t>
    </rPh>
    <rPh sb="12" eb="14">
      <t>シンキ</t>
    </rPh>
    <rPh sb="20" eb="21">
      <t>オ</t>
    </rPh>
    <rPh sb="22" eb="23">
      <t>カ</t>
    </rPh>
    <rPh sb="31" eb="32">
      <t>ス</t>
    </rPh>
    <phoneticPr fontId="3"/>
  </si>
  <si>
    <r>
      <t>普段から使用しているExcel・VBAマクロを添付することで、</t>
    </r>
    <r>
      <rPr>
        <b/>
        <sz val="11"/>
        <color theme="1"/>
        <rFont val="游ゴシック"/>
        <family val="3"/>
        <charset val="128"/>
      </rPr>
      <t>日常的にVBAを使用している</t>
    </r>
    <r>
      <rPr>
        <sz val="11"/>
        <color theme="1"/>
        <rFont val="游ゴシック"/>
        <family val="2"/>
        <charset val="128"/>
      </rPr>
      <t>ことを証明するものです。</t>
    </r>
    <rPh sb="0" eb="2">
      <t>フダン</t>
    </rPh>
    <rPh sb="4" eb="6">
      <t>シヨウ</t>
    </rPh>
    <rPh sb="23" eb="25">
      <t>テンプ</t>
    </rPh>
    <rPh sb="31" eb="34">
      <t>ニチジョウテキ</t>
    </rPh>
    <rPh sb="39" eb="41">
      <t>シヨウ</t>
    </rPh>
    <rPh sb="48" eb="50">
      <t>ショウメイ</t>
    </rPh>
    <phoneticPr fontId="3"/>
  </si>
  <si>
    <r>
      <t>当Excelは「同居人の代わりに私が買い物を行い、かかった</t>
    </r>
    <r>
      <rPr>
        <b/>
        <sz val="11"/>
        <color theme="1"/>
        <rFont val="游ゴシック"/>
        <family val="3"/>
        <charset val="128"/>
      </rPr>
      <t>金額をまとめて精算する</t>
    </r>
    <r>
      <rPr>
        <sz val="11"/>
        <color theme="1"/>
        <rFont val="游ゴシック"/>
        <family val="2"/>
        <charset val="128"/>
      </rPr>
      <t>」ために作成したものです。</t>
    </r>
    <rPh sb="0" eb="1">
      <t>トウ</t>
    </rPh>
    <rPh sb="8" eb="11">
      <t>ドウキョニン</t>
    </rPh>
    <rPh sb="12" eb="13">
      <t>カ</t>
    </rPh>
    <rPh sb="16" eb="17">
      <t>ワタシ</t>
    </rPh>
    <rPh sb="18" eb="19">
      <t>カ</t>
    </rPh>
    <rPh sb="20" eb="21">
      <t>モノ</t>
    </rPh>
    <rPh sb="22" eb="23">
      <t>オコナ</t>
    </rPh>
    <rPh sb="29" eb="31">
      <t>キンガク</t>
    </rPh>
    <rPh sb="36" eb="38">
      <t>セイサン</t>
    </rPh>
    <rPh sb="44" eb="46">
      <t>サクセイ</t>
    </rPh>
    <phoneticPr fontId="3"/>
  </si>
  <si>
    <t>※起動するとExcelファイルが「マイドキュメント」に、ショートカットファイルがデスクトップに作成されます。</t>
    <rPh sb="1" eb="3">
      <t>キドウ</t>
    </rPh>
    <rPh sb="47" eb="49">
      <t>サクセイ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</si>
</sst>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11" x14ac:knownFonts="1">
    <font>
      <sz val="11"/>
      <color theme="1"/>
      <name val="游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2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游ゴシック"/>
      <family val="3"/>
      <charset val="128"/>
    </font>
    <font>
      <b/>
      <sz val="11"/>
      <color theme="0"/>
      <name val="游ゴシック"/>
      <family val="3"/>
      <charset val="128"/>
    </font>
    <font>
      <sz val="11"/>
      <name val="游ゴシック"/>
      <family val="3"/>
      <charset val="128"/>
    </font>
    <font>
      <b/>
      <sz val="14"/>
      <color theme="1"/>
      <name val="游ゴシック"/>
      <family val="3"/>
      <charset val="128"/>
    </font>
    <font>
      <i/>
      <sz val="11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79998168889431442"/>
        <bgColor theme="8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4" tint="0.39997558519241921"/>
      </left>
      <right style="thin">
        <color theme="6" tint="0.39997558519241921"/>
      </right>
      <top/>
      <bottom style="thin">
        <color theme="6" tint="0.39997558519241921"/>
      </bottom>
      <diagonal/>
    </border>
    <border>
      <left style="thin">
        <color theme="8" tint="0.39997558519241921"/>
      </left>
      <right style="thin">
        <color theme="8" tint="0.39997558519241921"/>
      </right>
      <top/>
      <bottom style="thin">
        <color theme="8" tint="0.39997558519241921"/>
      </bottom>
      <diagonal/>
    </border>
    <border>
      <left style="thin">
        <color theme="6" tint="0.39997558519241921"/>
      </left>
      <right style="thin">
        <color theme="6" tint="0.39997558519241921"/>
      </right>
      <top/>
      <bottom style="thin">
        <color theme="6" tint="0.39997558519241921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1" applyFont="1" applyAlignment="1">
      <alignment horizontal="left" vertical="center"/>
    </xf>
    <xf numFmtId="0" fontId="5" fillId="0" borderId="0" xfId="1" applyFont="1">
      <alignment vertical="center"/>
    </xf>
    <xf numFmtId="0" fontId="5" fillId="0" borderId="0" xfId="1" applyFont="1" applyAlignment="1">
      <alignment horizontal="center" vertical="center"/>
    </xf>
    <xf numFmtId="0" fontId="2" fillId="0" borderId="0" xfId="1" applyFont="1">
      <alignment vertical="center"/>
    </xf>
    <xf numFmtId="0" fontId="6" fillId="0" borderId="0" xfId="1" applyFont="1" applyFill="1" applyBorder="1" applyAlignment="1">
      <alignment horizontal="center" vertical="center"/>
    </xf>
    <xf numFmtId="0" fontId="5" fillId="0" borderId="0" xfId="1" applyNumberFormat="1" applyFont="1" applyFill="1" applyBorder="1" applyAlignment="1">
      <alignment horizontal="center" vertical="center"/>
    </xf>
    <xf numFmtId="0" fontId="7" fillId="0" borderId="0" xfId="1" applyFont="1" applyFill="1" applyBorder="1" applyAlignment="1">
      <alignment horizontal="center" vertical="center"/>
    </xf>
    <xf numFmtId="0" fontId="5" fillId="0" borderId="0" xfId="1" applyFont="1" applyAlignment="1">
      <alignment vertical="center" wrapText="1"/>
    </xf>
    <xf numFmtId="0" fontId="5" fillId="0" borderId="0" xfId="1" applyFont="1" applyFill="1" applyBorder="1" applyAlignment="1">
      <alignment horizontal="center" vertical="center"/>
    </xf>
    <xf numFmtId="0" fontId="5" fillId="0" borderId="0" xfId="1" applyFont="1" applyFill="1" applyBorder="1">
      <alignment vertical="center"/>
    </xf>
    <xf numFmtId="0" fontId="5" fillId="0" borderId="0" xfId="1" applyFont="1" applyBorder="1" applyAlignment="1">
      <alignment horizontal="center" vertical="center"/>
    </xf>
    <xf numFmtId="0" fontId="5" fillId="0" borderId="0" xfId="1" applyNumberFormat="1" applyFont="1" applyAlignment="1" applyProtection="1">
      <alignment vertical="center"/>
    </xf>
    <xf numFmtId="0" fontId="5" fillId="0" borderId="0" xfId="1" applyFont="1" applyAlignment="1" applyProtection="1">
      <alignment vertical="center"/>
    </xf>
    <xf numFmtId="0" fontId="8" fillId="0" borderId="0" xfId="1" applyNumberFormat="1" applyFont="1" applyAlignment="1" applyProtection="1">
      <alignment vertical="center"/>
    </xf>
    <xf numFmtId="0" fontId="8" fillId="0" borderId="0" xfId="1" applyFont="1" applyAlignment="1" applyProtection="1">
      <alignment vertical="center"/>
    </xf>
    <xf numFmtId="0" fontId="6" fillId="2" borderId="1" xfId="1" applyFont="1" applyFill="1" applyBorder="1" applyAlignment="1" applyProtection="1">
      <alignment horizontal="center" vertical="center"/>
    </xf>
    <xf numFmtId="0" fontId="6" fillId="3" borderId="2" xfId="1" applyFont="1" applyFill="1" applyBorder="1" applyAlignment="1" applyProtection="1">
      <alignment horizontal="center" vertical="center"/>
    </xf>
    <xf numFmtId="0" fontId="6" fillId="3" borderId="3" xfId="1" applyFont="1" applyFill="1" applyBorder="1" applyAlignment="1" applyProtection="1">
      <alignment horizontal="center" vertical="center"/>
    </xf>
    <xf numFmtId="0" fontId="2" fillId="4" borderId="4" xfId="1" applyFont="1" applyFill="1" applyBorder="1" applyAlignment="1" applyProtection="1">
      <alignment horizontal="center" vertical="center"/>
    </xf>
    <xf numFmtId="0" fontId="5" fillId="5" borderId="5" xfId="1" applyFont="1" applyFill="1" applyBorder="1" applyAlignment="1" applyProtection="1">
      <alignment horizontal="center" vertical="center"/>
    </xf>
    <xf numFmtId="0" fontId="2" fillId="5" borderId="6" xfId="1" applyFont="1" applyFill="1" applyBorder="1" applyAlignment="1" applyProtection="1">
      <alignment horizontal="center" vertical="center"/>
    </xf>
    <xf numFmtId="0" fontId="9" fillId="0" borderId="0" xfId="1" applyFont="1" applyAlignment="1" applyProtection="1">
      <alignment horizontal="center" vertical="center"/>
    </xf>
    <xf numFmtId="0" fontId="5" fillId="0" borderId="0" xfId="1" applyNumberFormat="1" applyFont="1" applyAlignment="1">
      <alignment horizontal="center" vertical="center"/>
    </xf>
    <xf numFmtId="0" fontId="5" fillId="0" borderId="0" xfId="1" applyFont="1" applyAlignment="1" applyProtection="1">
      <alignment horizontal="center" vertical="center"/>
    </xf>
    <xf numFmtId="0" fontId="5" fillId="0" borderId="0" xfId="1" applyNumberFormat="1" applyFont="1" applyBorder="1" applyAlignment="1">
      <alignment horizontal="center" vertical="center"/>
    </xf>
    <xf numFmtId="0" fontId="5" fillId="0" borderId="0" xfId="1" applyNumberFormat="1" applyFont="1" applyBorder="1" applyAlignment="1" applyProtection="1">
      <alignment horizontal="center" vertical="center"/>
    </xf>
    <xf numFmtId="0" fontId="5" fillId="0" borderId="0" xfId="1" applyNumberFormat="1" applyFont="1" applyAlignment="1" applyProtection="1">
      <alignment horizontal="center" vertical="center"/>
    </xf>
    <xf numFmtId="176" fontId="5" fillId="0" borderId="0" xfId="1" applyNumberFormat="1" applyFont="1" applyBorder="1" applyAlignment="1" applyProtection="1">
      <alignment horizontal="center" vertical="center"/>
    </xf>
    <xf numFmtId="0" fontId="10" fillId="0" borderId="0" xfId="0" applyFont="1">
      <alignment vertical="center"/>
    </xf>
  </cellXfs>
  <cellStyles count="2">
    <cellStyle name="標準" xfId="0" builtinId="0"/>
    <cellStyle name="標準 2" xfId="1"/>
  </cellStyles>
  <dxfs count="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176" formatCode="0_);[Red]\(0\)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176" formatCode="0_);[Red]\(0\)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游ゴシック"/>
        <scheme val="none"/>
      </font>
      <alignment horizontal="center" vertical="center" textRotation="0" wrapText="0" indent="0" justifyLastLine="0" shrinkToFit="0" readingOrder="0"/>
      <protection locked="1" hidden="0"/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176" formatCode="0_);[Red]\(0\)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176" formatCode="0_);[Red]\(0\)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游ゴシック"/>
        <scheme val="none"/>
      </font>
      <alignment horizontal="center" vertical="center" textRotation="0" wrapText="0" indent="0" justifyLastLine="0" shrinkToFit="0" readingOrder="0"/>
      <protection locked="1" hidden="0"/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176" formatCode="0_);[Red]\(0\)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176" formatCode="0_);[Red]\(0\)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游ゴシック"/>
        <scheme val="none"/>
      </font>
      <alignment horizontal="center" vertical="center" textRotation="0" wrapText="0" indent="0" justifyLastLine="0" shrinkToFit="0" readingOrder="0"/>
      <protection locked="1" hidden="0"/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176" formatCode="0_);[Red]\(0\)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176" formatCode="0_);[Red]\(0\)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游ゴシック"/>
        <scheme val="none"/>
      </font>
      <alignment horizontal="center" vertical="center" textRotation="0" wrapText="0" indent="0" justifyLastLine="0" shrinkToFit="0" readingOrder="0"/>
      <protection locked="1" hidden="0"/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176" formatCode="0_);[Red]\(0\)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176" formatCode="0_);[Red]\(0\)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游ゴシック"/>
        <scheme val="none"/>
      </font>
      <alignment horizontal="center" vertical="center" textRotation="0" wrapText="0" indent="0" justifyLastLine="0" shrinkToFit="0" readingOrder="0"/>
      <protection locked="1" hidden="0"/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3</xdr:col>
      <xdr:colOff>0</xdr:colOff>
      <xdr:row>20</xdr:row>
      <xdr:rowOff>0</xdr:rowOff>
    </xdr:to>
    <xdr:sp macro="" textlink="">
      <xdr:nvSpPr>
        <xdr:cNvPr id="2" name="線吹き出し 1 (枠付き) 1"/>
        <xdr:cNvSpPr/>
      </xdr:nvSpPr>
      <xdr:spPr>
        <a:xfrm>
          <a:off x="276225" y="4114800"/>
          <a:ext cx="1466850" cy="476250"/>
        </a:xfrm>
        <a:prstGeom prst="borderCallout1">
          <a:avLst>
            <a:gd name="adj1" fmla="val 1639"/>
            <a:gd name="adj2" fmla="val 28378"/>
            <a:gd name="adj3" fmla="val -475279"/>
            <a:gd name="adj4" fmla="val 2304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購入時にかかった</a:t>
          </a:r>
          <a:endParaRPr kumimoji="1" lang="en-US" altLang="ja-JP" sz="1100"/>
        </a:p>
        <a:p>
          <a:pPr algn="ctr"/>
          <a:r>
            <a:rPr kumimoji="1" lang="ja-JP" altLang="en-US" sz="1100"/>
            <a:t>金額を入力します。</a:t>
          </a:r>
        </a:p>
      </xdr:txBody>
    </xdr:sp>
    <xdr:clientData/>
  </xdr:twoCellAnchor>
  <xdr:twoCellAnchor>
    <xdr:from>
      <xdr:col>3</xdr:col>
      <xdr:colOff>190500</xdr:colOff>
      <xdr:row>18</xdr:row>
      <xdr:rowOff>0</xdr:rowOff>
    </xdr:from>
    <xdr:to>
      <xdr:col>6</xdr:col>
      <xdr:colOff>0</xdr:colOff>
      <xdr:row>20</xdr:row>
      <xdr:rowOff>0</xdr:rowOff>
    </xdr:to>
    <xdr:sp macro="" textlink="">
      <xdr:nvSpPr>
        <xdr:cNvPr id="6" name="線吹き出し 1 (枠付き) 5"/>
        <xdr:cNvSpPr/>
      </xdr:nvSpPr>
      <xdr:spPr>
        <a:xfrm>
          <a:off x="1933575" y="4114800"/>
          <a:ext cx="2009775" cy="476250"/>
        </a:xfrm>
        <a:prstGeom prst="borderCallout1">
          <a:avLst>
            <a:gd name="adj1" fmla="val -361"/>
            <a:gd name="adj2" fmla="val 46268"/>
            <a:gd name="adj3" fmla="val -477746"/>
            <a:gd name="adj4" fmla="val 42638"/>
          </a:avLst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相手が自分に返金しなければ</a:t>
          </a:r>
          <a:endParaRPr kumimoji="1" lang="en-US" altLang="ja-JP" sz="1100"/>
        </a:p>
        <a:p>
          <a:pPr algn="ctr"/>
          <a:r>
            <a:rPr kumimoji="1" lang="ja-JP" altLang="en-US" sz="1100"/>
            <a:t>ならない額を示します。</a:t>
          </a:r>
          <a:endParaRPr kumimoji="1" lang="en-US" altLang="ja-JP" sz="1100"/>
        </a:p>
      </xdr:txBody>
    </xdr:sp>
    <xdr:clientData/>
  </xdr:twoCellAnchor>
  <xdr:twoCellAnchor>
    <xdr:from>
      <xdr:col>5</xdr:col>
      <xdr:colOff>2</xdr:colOff>
      <xdr:row>10</xdr:row>
      <xdr:rowOff>1</xdr:rowOff>
    </xdr:from>
    <xdr:to>
      <xdr:col>7</xdr:col>
      <xdr:colOff>295276</xdr:colOff>
      <xdr:row>11</xdr:row>
      <xdr:rowOff>0</xdr:rowOff>
    </xdr:to>
    <xdr:sp macro="" textlink="">
      <xdr:nvSpPr>
        <xdr:cNvPr id="7" name="線吹き出し 1 (枠付き) 6"/>
        <xdr:cNvSpPr/>
      </xdr:nvSpPr>
      <xdr:spPr>
        <a:xfrm>
          <a:off x="3209927" y="2209801"/>
          <a:ext cx="1762124" cy="238124"/>
        </a:xfrm>
        <a:prstGeom prst="borderCallout1">
          <a:avLst>
            <a:gd name="adj1" fmla="val 11639"/>
            <a:gd name="adj2" fmla="val 29757"/>
            <a:gd name="adj3" fmla="val -164570"/>
            <a:gd name="adj4" fmla="val 22388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自分の出費額を示します。</a:t>
          </a:r>
          <a:endParaRPr kumimoji="1" lang="en-US" altLang="ja-JP" sz="1100"/>
        </a:p>
      </xdr:txBody>
    </xdr:sp>
    <xdr:clientData/>
  </xdr:twoCellAnchor>
  <xdr:twoCellAnchor>
    <xdr:from>
      <xdr:col>7</xdr:col>
      <xdr:colOff>323850</xdr:colOff>
      <xdr:row>12</xdr:row>
      <xdr:rowOff>9525</xdr:rowOff>
    </xdr:from>
    <xdr:to>
      <xdr:col>7</xdr:col>
      <xdr:colOff>3152774</xdr:colOff>
      <xdr:row>17</xdr:row>
      <xdr:rowOff>9525</xdr:rowOff>
    </xdr:to>
    <xdr:sp macro="" textlink="">
      <xdr:nvSpPr>
        <xdr:cNvPr id="5" name="線吹き出し 1 (枠付き) 4"/>
        <xdr:cNvSpPr/>
      </xdr:nvSpPr>
      <xdr:spPr>
        <a:xfrm>
          <a:off x="5000625" y="2695575"/>
          <a:ext cx="2828924" cy="1190625"/>
        </a:xfrm>
        <a:prstGeom prst="borderCallout1">
          <a:avLst>
            <a:gd name="adj1" fmla="val -361"/>
            <a:gd name="adj2" fmla="val 30837"/>
            <a:gd name="adj3" fmla="val -68970"/>
            <a:gd name="adj4" fmla="val -20318"/>
          </a:avLst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お互いが相手に支払ってもらっていたぶんを</a:t>
          </a:r>
          <a:endParaRPr kumimoji="1" lang="en-US" altLang="ja-JP" sz="1100"/>
        </a:p>
        <a:p>
          <a:pPr algn="ctr"/>
          <a:r>
            <a:rPr kumimoji="1" lang="ja-JP" altLang="en-US" sz="1100"/>
            <a:t>「精算」するために使う欄です。</a:t>
          </a:r>
          <a:endParaRPr kumimoji="1" lang="en-US" altLang="ja-JP" sz="1100"/>
        </a:p>
        <a:p>
          <a:pPr algn="ctr"/>
          <a:r>
            <a:rPr kumimoji="1" lang="ja-JP" altLang="en-US" sz="1100">
              <a:solidFill>
                <a:schemeClr val="bg1">
                  <a:lumMod val="95000"/>
                </a:schemeClr>
              </a:solidFill>
            </a:rPr>
            <a:t>数字をそのまま打ち込むと</a:t>
          </a:r>
          <a:endParaRPr kumimoji="1" lang="en-US" altLang="ja-JP" sz="1100">
            <a:solidFill>
              <a:schemeClr val="bg1">
                <a:lumMod val="95000"/>
              </a:schemeClr>
            </a:solidFill>
          </a:endParaRPr>
        </a:p>
        <a:p>
          <a:pPr algn="ctr"/>
          <a:r>
            <a:rPr kumimoji="1" lang="ja-JP" altLang="en-US" sz="1100">
              <a:solidFill>
                <a:schemeClr val="bg1">
                  <a:lumMod val="95000"/>
                </a:schemeClr>
              </a:solidFill>
            </a:rPr>
            <a:t>「相手の精算を受けた」ことに、</a:t>
          </a:r>
          <a:endParaRPr kumimoji="1" lang="en-US" altLang="ja-JP" sz="1100">
            <a:solidFill>
              <a:schemeClr val="bg1">
                <a:lumMod val="95000"/>
              </a:schemeClr>
            </a:solidFill>
          </a:endParaRPr>
        </a:p>
        <a:p>
          <a:pPr algn="ctr"/>
          <a:r>
            <a:rPr kumimoji="1" lang="ja-JP" altLang="en-US" sz="1100">
              <a:solidFill>
                <a:schemeClr val="bg1">
                  <a:lumMod val="95000"/>
                </a:schemeClr>
              </a:solidFill>
            </a:rPr>
            <a:t>マイナスをつけると</a:t>
          </a:r>
          <a:endParaRPr kumimoji="1" lang="en-US" altLang="ja-JP" sz="1100">
            <a:solidFill>
              <a:schemeClr val="bg1">
                <a:lumMod val="95000"/>
              </a:schemeClr>
            </a:solidFill>
          </a:endParaRPr>
        </a:p>
        <a:p>
          <a:pPr algn="ctr"/>
          <a:r>
            <a:rPr kumimoji="1" lang="ja-JP" altLang="en-US" sz="1100">
              <a:solidFill>
                <a:schemeClr val="bg1">
                  <a:lumMod val="95000"/>
                </a:schemeClr>
              </a:solidFill>
            </a:rPr>
            <a:t>「相手に精算した」ことになります。</a:t>
          </a:r>
          <a:endParaRPr kumimoji="1" lang="en-US" altLang="ja-JP" sz="11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3</xdr:col>
      <xdr:colOff>609600</xdr:colOff>
      <xdr:row>2</xdr:row>
      <xdr:rowOff>0</xdr:rowOff>
    </xdr:to>
    <xdr:sp macro="" textlink="">
      <xdr:nvSpPr>
        <xdr:cNvPr id="8" name="線吹き出し 1 (枠付き) 7"/>
        <xdr:cNvSpPr/>
      </xdr:nvSpPr>
      <xdr:spPr>
        <a:xfrm>
          <a:off x="276225" y="238125"/>
          <a:ext cx="2076450" cy="304800"/>
        </a:xfrm>
        <a:prstGeom prst="borderCallout1">
          <a:avLst>
            <a:gd name="adj1" fmla="val 105889"/>
            <a:gd name="adj2" fmla="val 49682"/>
            <a:gd name="adj3" fmla="val 269971"/>
            <a:gd name="adj4" fmla="val 4620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相手に返金してもらう残額です。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571500</xdr:colOff>
      <xdr:row>2</xdr:row>
      <xdr:rowOff>0</xdr:rowOff>
    </xdr:to>
    <xdr:sp macro="" textlink="">
      <xdr:nvSpPr>
        <xdr:cNvPr id="10" name="線吹き出し 1 (枠付き) 9"/>
        <xdr:cNvSpPr/>
      </xdr:nvSpPr>
      <xdr:spPr>
        <a:xfrm>
          <a:off x="2476500" y="238125"/>
          <a:ext cx="2038350" cy="304800"/>
        </a:xfrm>
        <a:prstGeom prst="borderCallout1">
          <a:avLst>
            <a:gd name="adj1" fmla="val 99639"/>
            <a:gd name="adj2" fmla="val 13443"/>
            <a:gd name="adj3" fmla="val 266596"/>
            <a:gd name="adj4" fmla="val 1281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もう返金してもらった総額です。</a:t>
          </a:r>
          <a:endParaRPr kumimoji="1" lang="en-US" altLang="ja-JP" sz="1100"/>
        </a:p>
        <a:p>
          <a:pPr algn="ctr"/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2038350</xdr:colOff>
      <xdr:row>2</xdr:row>
      <xdr:rowOff>0</xdr:rowOff>
    </xdr:to>
    <xdr:sp macro="" textlink="">
      <xdr:nvSpPr>
        <xdr:cNvPr id="11" name="線吹き出し 1 (枠付き) 10"/>
        <xdr:cNvSpPr/>
      </xdr:nvSpPr>
      <xdr:spPr>
        <a:xfrm>
          <a:off x="4676775" y="238125"/>
          <a:ext cx="2038350" cy="304800"/>
        </a:xfrm>
        <a:prstGeom prst="borderCallout1">
          <a:avLst>
            <a:gd name="adj1" fmla="val 99639"/>
            <a:gd name="adj2" fmla="val 13443"/>
            <a:gd name="adj3" fmla="val 291596"/>
            <a:gd name="adj4" fmla="val -46061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真下にある「相手」の合計です。</a:t>
          </a:r>
        </a:p>
      </xdr:txBody>
    </xdr:sp>
    <xdr:clientData/>
  </xdr:twoCellAnchor>
  <xdr:twoCellAnchor>
    <xdr:from>
      <xdr:col>7</xdr:col>
      <xdr:colOff>142875</xdr:colOff>
      <xdr:row>2</xdr:row>
      <xdr:rowOff>133350</xdr:rowOff>
    </xdr:from>
    <xdr:to>
      <xdr:col>7</xdr:col>
      <xdr:colOff>2181225</xdr:colOff>
      <xdr:row>3</xdr:row>
      <xdr:rowOff>200025</xdr:rowOff>
    </xdr:to>
    <xdr:sp macro="" textlink="">
      <xdr:nvSpPr>
        <xdr:cNvPr id="12" name="線吹き出し 1 (枠付き) 11"/>
        <xdr:cNvSpPr/>
      </xdr:nvSpPr>
      <xdr:spPr>
        <a:xfrm>
          <a:off x="4819650" y="676275"/>
          <a:ext cx="2038350" cy="304800"/>
        </a:xfrm>
        <a:prstGeom prst="borderCallout1">
          <a:avLst>
            <a:gd name="adj1" fmla="val 99639"/>
            <a:gd name="adj2" fmla="val 13443"/>
            <a:gd name="adj3" fmla="val 144721"/>
            <a:gd name="adj4" fmla="val -14286"/>
          </a:avLst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真下にある「自分」の合計です。</a:t>
          </a:r>
        </a:p>
      </xdr:txBody>
    </xdr:sp>
    <xdr:clientData/>
  </xdr:twoCellAnchor>
  <xdr:twoCellAnchor>
    <xdr:from>
      <xdr:col>7</xdr:col>
      <xdr:colOff>2419350</xdr:colOff>
      <xdr:row>0</xdr:row>
      <xdr:rowOff>238124</xdr:rowOff>
    </xdr:from>
    <xdr:to>
      <xdr:col>7</xdr:col>
      <xdr:colOff>5219700</xdr:colOff>
      <xdr:row>2</xdr:row>
      <xdr:rowOff>238124</xdr:rowOff>
    </xdr:to>
    <xdr:sp macro="" textlink="">
      <xdr:nvSpPr>
        <xdr:cNvPr id="13" name="線吹き出し 1 (枠付き) 12"/>
        <xdr:cNvSpPr/>
      </xdr:nvSpPr>
      <xdr:spPr>
        <a:xfrm>
          <a:off x="7096125" y="238124"/>
          <a:ext cx="2800350" cy="542925"/>
        </a:xfrm>
        <a:prstGeom prst="borderCallout1">
          <a:avLst>
            <a:gd name="adj1" fmla="val 99639"/>
            <a:gd name="adj2" fmla="val 80450"/>
            <a:gd name="adj3" fmla="val 162320"/>
            <a:gd name="adj4" fmla="val 44773"/>
          </a:avLst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締切日までの日数です。</a:t>
          </a:r>
          <a:endParaRPr kumimoji="1" lang="en-US" altLang="ja-JP" sz="1100"/>
        </a:p>
        <a:p>
          <a:pPr algn="ctr"/>
          <a:r>
            <a:rPr kumimoji="1" lang="ja-JP" altLang="en-US" sz="1100"/>
            <a:t>年月が違う場合、その旨を表示します。</a:t>
          </a: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7</xdr:col>
      <xdr:colOff>0</xdr:colOff>
      <xdr:row>16</xdr:row>
      <xdr:rowOff>238124</xdr:rowOff>
    </xdr:to>
    <xdr:sp macro="" textlink="">
      <xdr:nvSpPr>
        <xdr:cNvPr id="3" name="線吹き出し 1 (枠付き) 2"/>
        <xdr:cNvSpPr/>
      </xdr:nvSpPr>
      <xdr:spPr>
        <a:xfrm>
          <a:off x="276225" y="3400425"/>
          <a:ext cx="4400550" cy="476249"/>
        </a:xfrm>
        <a:prstGeom prst="borderCallout1">
          <a:avLst>
            <a:gd name="adj1" fmla="val -361"/>
            <a:gd name="adj2" fmla="val 20695"/>
            <a:gd name="adj3" fmla="val -327715"/>
            <a:gd name="adj4" fmla="val 24364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その場で支払った人物をプルダウンリストで入力します。</a:t>
          </a:r>
          <a:endParaRPr kumimoji="1" lang="en-US" altLang="ja-JP" sz="1100"/>
        </a:p>
        <a:p>
          <a:pPr algn="ctr"/>
          <a:r>
            <a:rPr kumimoji="1" lang="ja-JP" altLang="ja-JP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例：相手の代理で自分が購入した場合、この欄は「</a:t>
          </a:r>
          <a:r>
            <a:rPr kumimoji="1" lang="ja-JP" alt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自分</a:t>
          </a:r>
          <a:r>
            <a:rPr kumimoji="1" lang="ja-JP" altLang="ja-JP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」です。</a:t>
          </a:r>
          <a:endParaRPr kumimoji="1" lang="en-US" altLang="ja-JP" sz="1100">
            <a:solidFill>
              <a:schemeClr val="bg2">
                <a:lumMod val="90000"/>
              </a:schemeClr>
            </a:solidFill>
            <a:latin typeface="+mn-lt"/>
            <a:ea typeface="+mn-ea"/>
            <a:cs typeface="+mn-cs"/>
          </a:endParaRPr>
        </a:p>
        <a:p>
          <a:pPr algn="ctr"/>
          <a:endParaRPr kumimoji="1" lang="en-US" altLang="ja-JP" sz="1100"/>
        </a:p>
      </xdr:txBody>
    </xdr:sp>
    <xdr:clientData/>
  </xdr:twoCellAnchor>
  <xdr:twoCellAnchor>
    <xdr:from>
      <xdr:col>1</xdr:col>
      <xdr:colOff>1</xdr:colOff>
      <xdr:row>12</xdr:row>
      <xdr:rowOff>0</xdr:rowOff>
    </xdr:from>
    <xdr:to>
      <xdr:col>7</xdr:col>
      <xdr:colOff>0</xdr:colOff>
      <xdr:row>14</xdr:row>
      <xdr:rowOff>0</xdr:rowOff>
    </xdr:to>
    <xdr:sp macro="" textlink="">
      <xdr:nvSpPr>
        <xdr:cNvPr id="4" name="線吹き出し 1 (枠付き) 3"/>
        <xdr:cNvSpPr/>
      </xdr:nvSpPr>
      <xdr:spPr>
        <a:xfrm>
          <a:off x="276226" y="2686050"/>
          <a:ext cx="4400549" cy="476250"/>
        </a:xfrm>
        <a:prstGeom prst="borderCallout1">
          <a:avLst>
            <a:gd name="adj1" fmla="val -917"/>
            <a:gd name="adj2" fmla="val 38119"/>
            <a:gd name="adj3" fmla="val -176279"/>
            <a:gd name="adj4" fmla="val 41227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実際に「支払う必要のある」人物をプルダウンリストで入力します。</a:t>
          </a:r>
          <a:endParaRPr kumimoji="1" lang="en-US" altLang="ja-JP" sz="1100"/>
        </a:p>
        <a:p>
          <a:pPr algn="ctr"/>
          <a:r>
            <a:rPr kumimoji="1" lang="ja-JP" altLang="en-US" sz="1100">
              <a:solidFill>
                <a:schemeClr val="bg2">
                  <a:lumMod val="90000"/>
                </a:schemeClr>
              </a:solidFill>
            </a:rPr>
            <a:t>例：相手の代理で自分が購入した場合、この欄は「相手」です。</a:t>
          </a:r>
          <a:endParaRPr kumimoji="1" lang="en-US" altLang="ja-JP" sz="1100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7" name="テーブル814618739862758" displayName="テーブル814618739862758" ref="B7:H9" headerRowDxfId="88" dataDxfId="87">
  <autoFilter ref="B7:H9"/>
  <tableColumns count="7">
    <tableColumn id="3" name="価格" dataDxfId="86" totalsRowDxfId="85"/>
    <tableColumn id="4" name="支払" dataDxfId="84" totalsRowDxfId="83"/>
    <tableColumn id="5" name="実際" dataDxfId="82" totalsRowDxfId="81"/>
    <tableColumn id="2" name="精算" dataDxfId="80" totalsRowDxfId="79"/>
    <tableColumn id="6" name="相手" totalsRowFunction="sum" dataDxfId="78" totalsRowDxfId="77">
      <calculatedColumnFormula>IFERROR(IF(テーブル814618739862758[[#This Row],[精算]]&lt;&gt;"","",B8*VLOOKUP(テーブル814618739862758[[#This Row],[支払]]&amp;テーブル814618739862758[[#This Row],[実際]],テーブル!$C$4:$F$12,4,0)),"")</calculatedColumnFormula>
    </tableColumn>
    <tableColumn id="7" name="自分" totalsRowFunction="sum" dataDxfId="76">
      <calculatedColumnFormula>IFERROR(IF(テーブル814618739862758[[#This Row],[精算]]&lt;&gt;"","",B8*VLOOKUP(D8,テーブル!$C$16:$D$18,2,0)),"")</calculatedColumnFormula>
    </tableColumn>
    <tableColumn id="10" name="備考" dataDxfId="75" totalsRowDxfId="7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テーブル814618739862757" displayName="テーブル814618739862757" ref="B7:H9" headerRowDxfId="72" dataDxfId="71">
  <autoFilter ref="B7:H9"/>
  <tableColumns count="7">
    <tableColumn id="3" name="価格" dataDxfId="70" totalsRowDxfId="69"/>
    <tableColumn id="4" name="支払" dataDxfId="68" totalsRowDxfId="67"/>
    <tableColumn id="5" name="実際" dataDxfId="66" totalsRowDxfId="65"/>
    <tableColumn id="2" name="精算" dataDxfId="64" totalsRowDxfId="63"/>
    <tableColumn id="6" name="相手" totalsRowFunction="sum" dataDxfId="62" totalsRowDxfId="61">
      <calculatedColumnFormula>IFERROR(IF(テーブル814618739862757[[#This Row],[精算]]&lt;&gt;"","",B8*VLOOKUP(テーブル814618739862757[[#This Row],[支払]]&amp;テーブル814618739862757[[#This Row],[実際]],テーブル!$C$4:$F$12,4,0)),"")</calculatedColumnFormula>
    </tableColumn>
    <tableColumn id="7" name="自分" totalsRowFunction="sum" dataDxfId="60">
      <calculatedColumnFormula>IFERROR(IF(テーブル814618739862757[[#This Row],[精算]]&lt;&gt;"","",B8*VLOOKUP(D8,テーブル!$C$16:$D$18,2,0)),"")</calculatedColumnFormula>
    </tableColumn>
    <tableColumn id="10" name="備考" dataDxfId="59" totalsRowDxfId="5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テーブル814618739862756" displayName="テーブル814618739862756" ref="B7:H9" headerRowDxfId="56" dataDxfId="55">
  <autoFilter ref="B7:H9"/>
  <tableColumns count="7">
    <tableColumn id="3" name="価格" dataDxfId="54" totalsRowDxfId="53"/>
    <tableColumn id="4" name="支払" dataDxfId="52" totalsRowDxfId="51"/>
    <tableColumn id="5" name="実際" dataDxfId="50" totalsRowDxfId="49"/>
    <tableColumn id="2" name="精算" dataDxfId="48" totalsRowDxfId="47"/>
    <tableColumn id="6" name="相手" totalsRowFunction="sum" dataDxfId="46" totalsRowDxfId="45">
      <calculatedColumnFormula>IFERROR(IF(テーブル814618739862756[[#This Row],[精算]]&lt;&gt;"","",B8*VLOOKUP(テーブル814618739862756[[#This Row],[支払]]&amp;テーブル814618739862756[[#This Row],[実際]],テーブル!$C$4:$F$12,4,0)),"")</calculatedColumnFormula>
    </tableColumn>
    <tableColumn id="7" name="自分" totalsRowFunction="sum" dataDxfId="44">
      <calculatedColumnFormula>IFERROR(IF(テーブル814618739862756[[#This Row],[精算]]&lt;&gt;"","",B8*VLOOKUP(D8,テーブル!$C$16:$D$18,2,0)),"")</calculatedColumnFormula>
    </tableColumn>
    <tableColumn id="10" name="備考" dataDxfId="43" totalsRowDxfId="4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テーブル814618739862755" displayName="テーブル814618739862755" ref="B7:H9" headerRowDxfId="40" dataDxfId="39">
  <autoFilter ref="B7:H9"/>
  <tableColumns count="7">
    <tableColumn id="3" name="価格" dataDxfId="38" totalsRowDxfId="37"/>
    <tableColumn id="4" name="支払" dataDxfId="36" totalsRowDxfId="35"/>
    <tableColumn id="5" name="実際" dataDxfId="34" totalsRowDxfId="33"/>
    <tableColumn id="2" name="精算" dataDxfId="32" totalsRowDxfId="31"/>
    <tableColumn id="6" name="相手" totalsRowFunction="sum" dataDxfId="30" totalsRowDxfId="29">
      <calculatedColumnFormula>IFERROR(IF(テーブル814618739862755[[#This Row],[精算]]&lt;&gt;"","",B8*VLOOKUP(テーブル814618739862755[[#This Row],[支払]]&amp;テーブル814618739862755[[#This Row],[実際]],テーブル!$C$4:$F$12,4,0)),"")</calculatedColumnFormula>
    </tableColumn>
    <tableColumn id="7" name="自分" totalsRowFunction="sum" dataDxfId="28">
      <calculatedColumnFormula>IFERROR(IF(テーブル81461873986275[[#This Row],[精算]]&lt;&gt;"","",B8*VLOOKUP(D8,テーブル!$C$16:$D$18,2,0)),"")</calculatedColumnFormula>
    </tableColumn>
    <tableColumn id="10" name="備考" dataDxfId="27" totalsRowDxfId="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テーブル「倍率係数_優水」" displayName="テーブル「倍率係数_優水」" ref="C3:F12" totalsRowShown="0" headerRowDxfId="25" dataDxfId="24">
  <autoFilter ref="C3:F12"/>
  <tableColumns count="4">
    <tableColumn id="1" name="支払者+実際の支払者" dataDxfId="23">
      <calculatedColumnFormula>テーブル!$D4&amp;テーブル!$E4</calculatedColumnFormula>
    </tableColumn>
    <tableColumn id="2" name="支払者" dataDxfId="22"/>
    <tableColumn id="3" name="実際の支払者" dataDxfId="21"/>
    <tableColumn id="4" name="倍率係数" dataDxfId="2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テーブル「倍率係数_まる」" displayName="テーブル「倍率係数_まる」" ref="C15:D18" totalsRowShown="0" headerRowDxfId="19" dataDxfId="18">
  <autoFilter ref="C15:D18"/>
  <tableColumns count="2">
    <tableColumn id="1" name="実際の支払者" dataDxfId="17"/>
    <tableColumn id="2" name="倍率係数" dataDxfId="1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" name="テーブル81461873986275" displayName="テーブル81461873986275" ref="B7:H9" headerRowDxfId="14" dataDxfId="13">
  <autoFilter ref="B7:H9"/>
  <tableColumns count="7">
    <tableColumn id="3" name="価格" dataDxfId="12" totalsRowDxfId="11"/>
    <tableColumn id="4" name="支払" dataDxfId="10" totalsRowDxfId="9"/>
    <tableColumn id="5" name="実際" dataDxfId="8" totalsRowDxfId="7"/>
    <tableColumn id="2" name="精算" dataDxfId="6" totalsRowDxfId="5"/>
    <tableColumn id="6" name="相手" totalsRowFunction="sum" dataDxfId="4" totalsRowDxfId="3">
      <calculatedColumnFormula>IFERROR(IF(テーブル81461873986275[[#This Row],[精算]]&lt;&gt;"","",B8*VLOOKUP(テーブル81461873986275[[#This Row],[支払]]&amp;テーブル81461873986275[[#This Row],[実際]],テーブル!$C$4:$F$12,4,0)),"")</calculatedColumnFormula>
    </tableColumn>
    <tableColumn id="7" name="自分" totalsRowFunction="sum" dataDxfId="2">
      <calculatedColumnFormula>IFERROR(IF(テーブル81461873986275[[#This Row],[精算]]&lt;&gt;"","",B8*VLOOKUP(D8,テーブル!$C$16:$D$18,2,0)),"")</calculatedColumnFormula>
    </tableColumn>
    <tableColumn id="10" name="備考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16"/>
  <sheetViews>
    <sheetView tabSelected="1" workbookViewId="0">
      <selection activeCell="C15" sqref="C15"/>
    </sheetView>
  </sheetViews>
  <sheetFormatPr defaultColWidth="3.625" defaultRowHeight="18.75" x14ac:dyDescent="0.4"/>
  <cols>
    <col min="3" max="3" width="111.625" bestFit="1" customWidth="1"/>
  </cols>
  <sheetData>
    <row r="2" spans="2:3" ht="19.5" x14ac:dyDescent="0.4">
      <c r="B2" s="29" t="s">
        <v>40</v>
      </c>
    </row>
    <row r="3" spans="2:3" x14ac:dyDescent="0.4">
      <c r="C3" t="s">
        <v>50</v>
      </c>
    </row>
    <row r="5" spans="2:3" ht="19.5" x14ac:dyDescent="0.4">
      <c r="B5" s="29" t="s">
        <v>41</v>
      </c>
    </row>
    <row r="6" spans="2:3" x14ac:dyDescent="0.4">
      <c r="C6" t="s">
        <v>49</v>
      </c>
    </row>
    <row r="8" spans="2:3" ht="19.5" x14ac:dyDescent="0.4">
      <c r="B8" s="29" t="s">
        <v>42</v>
      </c>
    </row>
    <row r="9" spans="2:3" x14ac:dyDescent="0.4">
      <c r="C9" t="s">
        <v>44</v>
      </c>
    </row>
    <row r="10" spans="2:3" x14ac:dyDescent="0.4">
      <c r="C10" t="s">
        <v>45</v>
      </c>
    </row>
    <row r="11" spans="2:3" x14ac:dyDescent="0.4">
      <c r="C11" t="s">
        <v>47</v>
      </c>
    </row>
    <row r="12" spans="2:3" x14ac:dyDescent="0.4">
      <c r="C12" t="s">
        <v>46</v>
      </c>
    </row>
    <row r="13" spans="2:3" x14ac:dyDescent="0.4">
      <c r="C13" t="s">
        <v>43</v>
      </c>
    </row>
    <row r="14" spans="2:3" x14ac:dyDescent="0.4">
      <c r="C14" t="s">
        <v>48</v>
      </c>
    </row>
    <row r="16" spans="2:3" x14ac:dyDescent="0.4">
      <c r="C16" t="s">
        <v>51</v>
      </c>
    </row>
  </sheetData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H9"/>
  <sheetViews>
    <sheetView workbookViewId="0">
      <pane ySplit="7" topLeftCell="A8" activePane="bottomLeft" state="frozen"/>
      <selection pane="bottomLeft" activeCell="H11" sqref="H11"/>
    </sheetView>
  </sheetViews>
  <sheetFormatPr defaultColWidth="3.625" defaultRowHeight="18.75" x14ac:dyDescent="0.4"/>
  <cols>
    <col min="1" max="1" width="3.625" style="24" customWidth="1"/>
    <col min="2" max="2" width="9.625" style="27" customWidth="1"/>
    <col min="3" max="7" width="9.625" style="24" customWidth="1"/>
    <col min="8" max="8" width="80.625" style="24" customWidth="1"/>
    <col min="9" max="16384" width="3.625" style="24"/>
  </cols>
  <sheetData>
    <row r="1" spans="2:8" s="13" customFormat="1" x14ac:dyDescent="0.4">
      <c r="B1" s="12"/>
    </row>
    <row r="2" spans="2:8" s="13" customFormat="1" ht="24" x14ac:dyDescent="0.4">
      <c r="B2" s="14"/>
      <c r="C2" s="13" t="s">
        <v>15</v>
      </c>
      <c r="D2" s="15"/>
      <c r="E2" s="13" t="s">
        <v>16</v>
      </c>
    </row>
    <row r="3" spans="2:8" s="13" customFormat="1" x14ac:dyDescent="0.4">
      <c r="B3" s="12"/>
    </row>
    <row r="4" spans="2:8" s="13" customFormat="1" x14ac:dyDescent="0.4">
      <c r="B4" s="12"/>
      <c r="C4" s="16" t="s">
        <v>17</v>
      </c>
      <c r="E4" s="17" t="s">
        <v>18</v>
      </c>
      <c r="F4" s="18" t="s">
        <v>30</v>
      </c>
      <c r="G4" s="18" t="s">
        <v>19</v>
      </c>
    </row>
    <row r="5" spans="2:8" s="13" customFormat="1" x14ac:dyDescent="0.4">
      <c r="B5" s="12"/>
      <c r="C5" s="19">
        <f>F5-E5</f>
        <v>0</v>
      </c>
      <c r="E5" s="20">
        <f>SUM(テーブル814618739862758[精算])</f>
        <v>0</v>
      </c>
      <c r="F5" s="21">
        <f>SUM(テーブル814618739862758[相手])</f>
        <v>0</v>
      </c>
      <c r="G5" s="21">
        <f>SUM(テーブル814618739862758[自分])</f>
        <v>0</v>
      </c>
      <c r="H5" s="22" t="str">
        <f ca="1">IF(
  OR(
    31&lt;DATE(B2,D2+1,15)-TODAY(),DATE(B2,D2+1,15)-TODAY()&lt;0
  ),"年月が合ってない",IF(
    DATE(B2,D2+1,15)-TODAY()=0,"〆日",IF(
      OR(
        1&lt;=DATE(B2,D2+1,15)-TODAY(),DATE(B2,D2+1,15)-TODAY()&lt;=31
      ),"〆日まであと"&amp;DATE(B2,D2+1,15)-TODAY()&amp;"日"
    )
  )
)</f>
        <v>年月が合ってない</v>
      </c>
    </row>
    <row r="7" spans="2:8" x14ac:dyDescent="0.4">
      <c r="B7" s="23" t="s">
        <v>20</v>
      </c>
      <c r="C7" s="3" t="s">
        <v>21</v>
      </c>
      <c r="D7" s="3" t="s">
        <v>22</v>
      </c>
      <c r="E7" s="24" t="s">
        <v>23</v>
      </c>
      <c r="F7" s="24" t="s">
        <v>27</v>
      </c>
      <c r="G7" s="24" t="s">
        <v>25</v>
      </c>
      <c r="H7" s="24" t="s">
        <v>24</v>
      </c>
    </row>
    <row r="8" spans="2:8" hidden="1" x14ac:dyDescent="0.4">
      <c r="B8" s="25"/>
      <c r="C8" s="11"/>
      <c r="D8" s="11"/>
      <c r="E8" s="26"/>
      <c r="F8" s="26" t="str">
        <f>IFERROR(IF(テーブル814618739862758[[#This Row],[精算]]&lt;&gt;"","",B8*VLOOKUP(テーブル814618739862758[[#This Row],[支払]]&amp;テーブル814618739862758[[#This Row],[実際]],テーブル!$C$4:$F$12,4,0)),"")</f>
        <v/>
      </c>
      <c r="G8" s="26" t="str">
        <f>IFERROR(IF(テーブル814618739862758[[#This Row],[精算]]&lt;&gt;"","",B8*VLOOKUP(D8,テーブル!$C$16:$D$18,2,0)),"")</f>
        <v/>
      </c>
      <c r="H8" s="26"/>
    </row>
    <row r="9" spans="2:8" x14ac:dyDescent="0.4">
      <c r="B9" s="26"/>
      <c r="C9" s="28"/>
      <c r="D9" s="28"/>
      <c r="E9" s="26"/>
      <c r="F9" s="26" t="str">
        <f>IFERROR(IF(テーブル814618739862758[[#This Row],[精算]]&lt;&gt;"","",B9*VLOOKUP(テーブル814618739862758[[#This Row],[支払]]&amp;テーブル814618739862758[[#This Row],[実際]],テーブル!$C$4:$F$12,4,0)),"")</f>
        <v/>
      </c>
      <c r="G9" s="26" t="str">
        <f>IFERROR(IF(テーブル814618739862758[[#This Row],[精算]]&lt;&gt;"","",B9*VLOOKUP(D9,テーブル!$C$16:$D$18,2,0)),"")</f>
        <v/>
      </c>
      <c r="H9" s="26"/>
    </row>
  </sheetData>
  <phoneticPr fontId="3"/>
  <conditionalFormatting sqref="H5">
    <cfRule type="expression" dxfId="89" priority="1">
      <formula>DAY(TODAY())=15</formula>
    </cfRule>
  </conditionalFormatting>
  <dataValidations count="3">
    <dataValidation type="list" allowBlank="1" showInputMessage="1" showErrorMessage="1" sqref="C8:C9">
      <formula1>"まるが,優水が,二人で"</formula1>
    </dataValidation>
    <dataValidation type="list" allowBlank="1" showInputMessage="1" showErrorMessage="1" sqref="D8:D9">
      <formula1>"まるに,優水に,二人に"</formula1>
    </dataValidation>
    <dataValidation type="list" allowBlank="1" showInputMessage="1" showErrorMessage="1" sqref="D2">
      <formula1>"1,2,3,4,5,6,7,8,9,10,11,12"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H68"/>
  <sheetViews>
    <sheetView workbookViewId="0">
      <pane ySplit="7" topLeftCell="A8" activePane="bottomLeft" state="frozen"/>
      <selection pane="bottomLeft" activeCell="G21" sqref="G21"/>
    </sheetView>
  </sheetViews>
  <sheetFormatPr defaultColWidth="3.625" defaultRowHeight="18.75" x14ac:dyDescent="0.4"/>
  <cols>
    <col min="1" max="1" width="3.625" style="24" customWidth="1"/>
    <col min="2" max="2" width="9.625" style="27" customWidth="1"/>
    <col min="3" max="7" width="9.625" style="24" customWidth="1"/>
    <col min="8" max="8" width="80.625" style="24" customWidth="1"/>
    <col min="9" max="16384" width="3.625" style="24"/>
  </cols>
  <sheetData>
    <row r="1" spans="2:8" s="13" customFormat="1" x14ac:dyDescent="0.4">
      <c r="B1" s="12"/>
    </row>
    <row r="2" spans="2:8" s="13" customFormat="1" ht="24" x14ac:dyDescent="0.4">
      <c r="B2" s="14">
        <v>2021</v>
      </c>
      <c r="C2" s="13" t="s">
        <v>15</v>
      </c>
      <c r="D2" s="15">
        <v>7</v>
      </c>
      <c r="E2" s="13" t="s">
        <v>16</v>
      </c>
    </row>
    <row r="3" spans="2:8" s="13" customFormat="1" x14ac:dyDescent="0.4">
      <c r="B3" s="12"/>
    </row>
    <row r="4" spans="2:8" s="13" customFormat="1" x14ac:dyDescent="0.4">
      <c r="B4" s="12"/>
      <c r="C4" s="16" t="s">
        <v>17</v>
      </c>
      <c r="E4" s="17" t="s">
        <v>18</v>
      </c>
      <c r="F4" s="18" t="s">
        <v>29</v>
      </c>
      <c r="G4" s="18" t="s">
        <v>19</v>
      </c>
    </row>
    <row r="5" spans="2:8" s="13" customFormat="1" x14ac:dyDescent="0.4">
      <c r="B5" s="12"/>
      <c r="C5" s="19">
        <f>F5-E5</f>
        <v>0</v>
      </c>
      <c r="E5" s="20">
        <f>SUM(テーブル814618739862757[精算])</f>
        <v>0</v>
      </c>
      <c r="F5" s="21">
        <f>SUM(テーブル814618739862757[相手])</f>
        <v>0</v>
      </c>
      <c r="G5" s="21">
        <f>SUM(テーブル814618739862757[自分])</f>
        <v>0</v>
      </c>
      <c r="H5" s="22" t="str">
        <f ca="1">IF(
  OR(
    31&lt;DATE(B2,D2+1,15)-TODAY(),DATE(B2,D2+1,15)-TODAY()&lt;0
  ),"年月が合ってない",IF(
    DATE(B2,D2+1,15)-TODAY()=0,"〆日",IF(
      OR(
        1&lt;=DATE(B2,D2+1,15)-TODAY(),DATE(B2,D2+1,15)-TODAY()&lt;=31
      ),"〆日まであと"&amp;DATE(B2,D2+1,15)-TODAY()&amp;"日"
    )
  )
)</f>
        <v>年月が合ってない</v>
      </c>
    </row>
    <row r="7" spans="2:8" x14ac:dyDescent="0.4">
      <c r="B7" s="23" t="s">
        <v>20</v>
      </c>
      <c r="C7" s="3" t="s">
        <v>21</v>
      </c>
      <c r="D7" s="3" t="s">
        <v>22</v>
      </c>
      <c r="E7" s="24" t="s">
        <v>23</v>
      </c>
      <c r="F7" s="24" t="s">
        <v>28</v>
      </c>
      <c r="G7" s="24" t="s">
        <v>26</v>
      </c>
      <c r="H7" s="24" t="s">
        <v>24</v>
      </c>
    </row>
    <row r="8" spans="2:8" hidden="1" x14ac:dyDescent="0.4">
      <c r="B8" s="25"/>
      <c r="C8" s="11"/>
      <c r="D8" s="11"/>
      <c r="E8" s="26"/>
      <c r="F8" s="26" t="str">
        <f>IFERROR(IF(テーブル814618739862757[[#This Row],[精算]]&lt;&gt;"","",B8*VLOOKUP(テーブル814618739862757[[#This Row],[支払]]&amp;テーブル814618739862757[[#This Row],[実際]],テーブル!$C$4:$F$12,4,0)),"")</f>
        <v/>
      </c>
      <c r="G8" s="26" t="str">
        <f>IFERROR(IF(テーブル814618739862757[[#This Row],[精算]]&lt;&gt;"","",B8*VLOOKUP(D8,テーブル!$C$16:$D$18,2,0)),"")</f>
        <v/>
      </c>
      <c r="H8" s="26"/>
    </row>
    <row r="9" spans="2:8" x14ac:dyDescent="0.4">
      <c r="B9" s="26"/>
      <c r="C9" s="28"/>
      <c r="D9" s="28"/>
      <c r="E9" s="26"/>
      <c r="F9" s="26" t="str">
        <f>IFERROR(IF(テーブル814618739862757[[#This Row],[精算]]&lt;&gt;"","",B9*VLOOKUP(テーブル814618739862757[[#This Row],[支払]]&amp;テーブル814618739862757[[#This Row],[実際]],テーブル!$C$4:$F$12,4,0)),"")</f>
        <v/>
      </c>
      <c r="G9" s="26" t="str">
        <f>IFERROR(IF(テーブル814618739862757[[#This Row],[精算]]&lt;&gt;"","",B9*VLOOKUP(D9,テーブル!$C$16:$D$18,2,0)),"")</f>
        <v/>
      </c>
      <c r="H9" s="26"/>
    </row>
    <row r="10" spans="2:8" x14ac:dyDescent="0.4">
      <c r="B10" s="26"/>
      <c r="C10" s="28"/>
      <c r="D10" s="28"/>
      <c r="E10" s="26"/>
      <c r="F10" s="26"/>
      <c r="G10" s="26"/>
      <c r="H10" s="26"/>
    </row>
    <row r="11" spans="2:8" x14ac:dyDescent="0.4">
      <c r="B11" s="26"/>
      <c r="C11" s="28"/>
      <c r="D11" s="28"/>
      <c r="E11" s="26"/>
      <c r="F11" s="26"/>
      <c r="G11" s="26"/>
      <c r="H11" s="26"/>
    </row>
    <row r="12" spans="2:8" x14ac:dyDescent="0.4">
      <c r="B12" s="26"/>
      <c r="C12" s="28"/>
      <c r="D12" s="28"/>
      <c r="E12" s="26"/>
      <c r="F12" s="26"/>
      <c r="G12" s="26"/>
      <c r="H12" s="26"/>
    </row>
    <row r="13" spans="2:8" x14ac:dyDescent="0.4">
      <c r="B13" s="26"/>
      <c r="C13" s="28"/>
      <c r="D13" s="28"/>
      <c r="E13" s="26"/>
      <c r="F13" s="26"/>
      <c r="G13" s="26"/>
      <c r="H13" s="26"/>
    </row>
    <row r="14" spans="2:8" x14ac:dyDescent="0.4">
      <c r="B14" s="26"/>
      <c r="C14" s="28"/>
      <c r="D14" s="28"/>
      <c r="E14" s="26"/>
      <c r="F14" s="26"/>
      <c r="G14" s="26"/>
      <c r="H14" s="26"/>
    </row>
    <row r="15" spans="2:8" x14ac:dyDescent="0.4">
      <c r="B15" s="26"/>
      <c r="C15" s="28"/>
      <c r="D15" s="28"/>
      <c r="E15" s="26"/>
      <c r="F15" s="26"/>
      <c r="G15" s="26"/>
      <c r="H15" s="26"/>
    </row>
    <row r="16" spans="2:8" x14ac:dyDescent="0.4">
      <c r="B16" s="26"/>
      <c r="C16" s="28"/>
      <c r="D16" s="28"/>
      <c r="E16" s="26"/>
      <c r="F16" s="26"/>
      <c r="G16" s="26"/>
      <c r="H16" s="26"/>
    </row>
    <row r="17" spans="2:8" x14ac:dyDescent="0.4">
      <c r="B17" s="26"/>
      <c r="C17" s="28"/>
      <c r="D17" s="28"/>
      <c r="E17" s="26"/>
      <c r="F17" s="26"/>
      <c r="G17" s="26"/>
      <c r="H17" s="26"/>
    </row>
    <row r="18" spans="2:8" x14ac:dyDescent="0.4">
      <c r="B18" s="26"/>
      <c r="C18" s="28"/>
      <c r="D18" s="28"/>
      <c r="E18" s="26"/>
      <c r="F18" s="26"/>
      <c r="G18" s="26"/>
      <c r="H18" s="26"/>
    </row>
    <row r="19" spans="2:8" x14ac:dyDescent="0.4">
      <c r="B19" s="26"/>
      <c r="C19" s="28"/>
      <c r="D19" s="28"/>
      <c r="E19" s="26"/>
      <c r="F19" s="26"/>
      <c r="G19" s="26"/>
      <c r="H19" s="26"/>
    </row>
    <row r="20" spans="2:8" x14ac:dyDescent="0.4">
      <c r="B20" s="26"/>
      <c r="C20" s="28"/>
      <c r="D20" s="28"/>
      <c r="E20" s="26"/>
      <c r="F20" s="26"/>
      <c r="G20" s="26"/>
      <c r="H20" s="26"/>
    </row>
    <row r="21" spans="2:8" x14ac:dyDescent="0.4">
      <c r="B21" s="26"/>
      <c r="C21" s="28"/>
      <c r="D21" s="28"/>
      <c r="E21" s="26"/>
      <c r="F21" s="26"/>
      <c r="G21" s="26"/>
      <c r="H21" s="26"/>
    </row>
    <row r="22" spans="2:8" x14ac:dyDescent="0.4">
      <c r="B22" s="26"/>
      <c r="C22" s="28"/>
      <c r="D22" s="28"/>
      <c r="E22" s="26"/>
      <c r="F22" s="26"/>
      <c r="G22" s="26"/>
      <c r="H22" s="26"/>
    </row>
    <row r="23" spans="2:8" x14ac:dyDescent="0.4">
      <c r="B23" s="26"/>
      <c r="C23" s="28"/>
      <c r="D23" s="28"/>
      <c r="E23" s="26"/>
      <c r="F23" s="26"/>
      <c r="G23" s="26"/>
      <c r="H23" s="26"/>
    </row>
    <row r="24" spans="2:8" x14ac:dyDescent="0.4">
      <c r="B24" s="26"/>
      <c r="C24" s="28"/>
      <c r="D24" s="28"/>
      <c r="E24" s="26"/>
      <c r="F24" s="26"/>
      <c r="G24" s="26"/>
      <c r="H24" s="26"/>
    </row>
    <row r="25" spans="2:8" x14ac:dyDescent="0.4">
      <c r="B25" s="26"/>
      <c r="C25" s="28"/>
      <c r="D25" s="28"/>
      <c r="E25" s="26"/>
      <c r="F25" s="26"/>
      <c r="G25" s="26"/>
      <c r="H25" s="26"/>
    </row>
    <row r="26" spans="2:8" x14ac:dyDescent="0.4">
      <c r="B26" s="26"/>
      <c r="C26" s="28"/>
      <c r="D26" s="28"/>
      <c r="E26" s="26"/>
      <c r="F26" s="26"/>
      <c r="G26" s="26"/>
      <c r="H26" s="26"/>
    </row>
    <row r="27" spans="2:8" x14ac:dyDescent="0.4">
      <c r="B27" s="26"/>
      <c r="C27" s="28"/>
      <c r="D27" s="28"/>
      <c r="E27" s="26"/>
      <c r="F27" s="26"/>
      <c r="G27" s="26"/>
      <c r="H27" s="26"/>
    </row>
    <row r="28" spans="2:8" x14ac:dyDescent="0.4">
      <c r="B28" s="26"/>
      <c r="C28" s="28"/>
      <c r="D28" s="28"/>
      <c r="E28" s="26"/>
      <c r="F28" s="26"/>
      <c r="G28" s="26"/>
      <c r="H28" s="26"/>
    </row>
    <row r="29" spans="2:8" x14ac:dyDescent="0.4">
      <c r="B29" s="26"/>
      <c r="C29" s="28"/>
      <c r="D29" s="28"/>
      <c r="E29" s="26"/>
      <c r="F29" s="26"/>
      <c r="G29" s="26"/>
      <c r="H29" s="26"/>
    </row>
    <row r="30" spans="2:8" x14ac:dyDescent="0.4">
      <c r="B30" s="26"/>
      <c r="C30" s="28"/>
      <c r="D30" s="28"/>
      <c r="E30" s="26"/>
      <c r="F30" s="26"/>
      <c r="G30" s="26"/>
      <c r="H30" s="26"/>
    </row>
    <row r="31" spans="2:8" x14ac:dyDescent="0.4">
      <c r="B31" s="26"/>
      <c r="C31" s="28"/>
      <c r="D31" s="28"/>
      <c r="E31" s="26"/>
      <c r="F31" s="26"/>
      <c r="G31" s="26"/>
      <c r="H31" s="26"/>
    </row>
    <row r="32" spans="2:8" x14ac:dyDescent="0.4">
      <c r="B32" s="26"/>
      <c r="C32" s="28"/>
      <c r="D32" s="28"/>
      <c r="E32" s="26"/>
      <c r="F32" s="26"/>
      <c r="G32" s="26"/>
      <c r="H32" s="26"/>
    </row>
    <row r="33" spans="2:8" x14ac:dyDescent="0.4">
      <c r="B33" s="26"/>
      <c r="C33" s="28"/>
      <c r="D33" s="28"/>
      <c r="E33" s="26"/>
      <c r="F33" s="26"/>
      <c r="G33" s="26"/>
      <c r="H33" s="26"/>
    </row>
    <row r="34" spans="2:8" x14ac:dyDescent="0.4">
      <c r="B34" s="26"/>
      <c r="C34" s="28"/>
      <c r="D34" s="28"/>
      <c r="E34" s="26"/>
      <c r="F34" s="26"/>
      <c r="G34" s="26"/>
      <c r="H34" s="26"/>
    </row>
    <row r="35" spans="2:8" x14ac:dyDescent="0.4">
      <c r="B35" s="26"/>
      <c r="C35" s="28"/>
      <c r="D35" s="28"/>
      <c r="E35" s="26"/>
      <c r="F35" s="26"/>
      <c r="G35" s="26"/>
      <c r="H35" s="26"/>
    </row>
    <row r="36" spans="2:8" x14ac:dyDescent="0.4">
      <c r="B36" s="26"/>
      <c r="C36" s="28"/>
      <c r="D36" s="28"/>
      <c r="E36" s="26"/>
      <c r="F36" s="26"/>
      <c r="G36" s="26"/>
      <c r="H36" s="26"/>
    </row>
    <row r="37" spans="2:8" x14ac:dyDescent="0.4">
      <c r="B37" s="26"/>
      <c r="C37" s="28"/>
      <c r="D37" s="28"/>
      <c r="E37" s="26"/>
      <c r="F37" s="26"/>
      <c r="G37" s="26"/>
      <c r="H37" s="26"/>
    </row>
    <row r="38" spans="2:8" x14ac:dyDescent="0.4">
      <c r="B38" s="26"/>
      <c r="C38" s="28"/>
      <c r="D38" s="28"/>
      <c r="E38" s="26"/>
      <c r="F38" s="26"/>
      <c r="G38" s="26"/>
      <c r="H38" s="26"/>
    </row>
    <row r="39" spans="2:8" x14ac:dyDescent="0.4">
      <c r="B39" s="26"/>
      <c r="C39" s="28"/>
      <c r="D39" s="28"/>
      <c r="E39" s="26"/>
      <c r="F39" s="26"/>
      <c r="G39" s="26"/>
      <c r="H39" s="26"/>
    </row>
    <row r="40" spans="2:8" x14ac:dyDescent="0.4">
      <c r="B40" s="26"/>
      <c r="C40" s="28"/>
      <c r="D40" s="28"/>
      <c r="E40" s="26"/>
      <c r="F40" s="26"/>
      <c r="G40" s="26"/>
      <c r="H40" s="26"/>
    </row>
    <row r="41" spans="2:8" x14ac:dyDescent="0.4">
      <c r="B41" s="26"/>
      <c r="C41" s="28"/>
      <c r="D41" s="28"/>
      <c r="E41" s="26"/>
      <c r="F41" s="26"/>
      <c r="G41" s="26"/>
      <c r="H41" s="26"/>
    </row>
    <row r="42" spans="2:8" x14ac:dyDescent="0.4">
      <c r="B42" s="26"/>
      <c r="C42" s="28"/>
      <c r="D42" s="28"/>
      <c r="E42" s="26"/>
      <c r="F42" s="26"/>
      <c r="G42" s="26"/>
      <c r="H42" s="26"/>
    </row>
    <row r="43" spans="2:8" x14ac:dyDescent="0.4">
      <c r="B43" s="26"/>
      <c r="C43" s="28"/>
      <c r="D43" s="28"/>
      <c r="E43" s="26"/>
      <c r="F43" s="26"/>
      <c r="G43" s="26"/>
      <c r="H43" s="26"/>
    </row>
    <row r="44" spans="2:8" x14ac:dyDescent="0.4">
      <c r="B44" s="26"/>
      <c r="C44" s="28"/>
      <c r="D44" s="28"/>
      <c r="E44" s="26"/>
      <c r="F44" s="26"/>
      <c r="G44" s="26"/>
      <c r="H44" s="26"/>
    </row>
    <row r="45" spans="2:8" x14ac:dyDescent="0.4">
      <c r="B45" s="26"/>
      <c r="C45" s="28"/>
      <c r="D45" s="28"/>
      <c r="E45" s="26"/>
      <c r="F45" s="26"/>
      <c r="G45" s="26"/>
      <c r="H45" s="26"/>
    </row>
    <row r="46" spans="2:8" x14ac:dyDescent="0.4">
      <c r="B46" s="26"/>
      <c r="C46" s="28"/>
      <c r="D46" s="28"/>
      <c r="E46" s="26"/>
      <c r="F46" s="26"/>
      <c r="G46" s="26"/>
      <c r="H46" s="26"/>
    </row>
    <row r="47" spans="2:8" x14ac:dyDescent="0.4">
      <c r="B47" s="26"/>
      <c r="C47" s="28"/>
      <c r="D47" s="28"/>
      <c r="E47" s="26"/>
      <c r="F47" s="26"/>
      <c r="G47" s="26"/>
      <c r="H47" s="26"/>
    </row>
    <row r="48" spans="2:8" x14ac:dyDescent="0.4">
      <c r="B48" s="26"/>
      <c r="C48" s="28"/>
      <c r="D48" s="28"/>
      <c r="E48" s="26"/>
      <c r="F48" s="26"/>
      <c r="G48" s="26"/>
      <c r="H48" s="26"/>
    </row>
    <row r="49" spans="2:8" x14ac:dyDescent="0.4">
      <c r="B49" s="26"/>
      <c r="C49" s="28"/>
      <c r="D49" s="28"/>
      <c r="E49" s="26"/>
      <c r="F49" s="26"/>
      <c r="G49" s="26"/>
      <c r="H49" s="26"/>
    </row>
    <row r="50" spans="2:8" x14ac:dyDescent="0.4">
      <c r="B50" s="26"/>
      <c r="C50" s="28"/>
      <c r="D50" s="28"/>
      <c r="E50" s="26"/>
      <c r="F50" s="26"/>
      <c r="G50" s="26"/>
      <c r="H50" s="26"/>
    </row>
    <row r="51" spans="2:8" x14ac:dyDescent="0.4">
      <c r="B51" s="26"/>
      <c r="C51" s="28"/>
      <c r="D51" s="28"/>
      <c r="E51" s="26"/>
      <c r="F51" s="26"/>
      <c r="G51" s="26"/>
      <c r="H51" s="26"/>
    </row>
    <row r="52" spans="2:8" x14ac:dyDescent="0.4">
      <c r="B52" s="26"/>
      <c r="C52" s="28"/>
      <c r="D52" s="28"/>
      <c r="E52" s="26"/>
      <c r="F52" s="26"/>
      <c r="G52" s="26"/>
      <c r="H52" s="26"/>
    </row>
    <row r="53" spans="2:8" x14ac:dyDescent="0.4">
      <c r="B53" s="26"/>
      <c r="C53" s="28"/>
      <c r="D53" s="28"/>
      <c r="E53" s="26"/>
      <c r="F53" s="26"/>
      <c r="G53" s="26"/>
      <c r="H53" s="26"/>
    </row>
    <row r="54" spans="2:8" x14ac:dyDescent="0.4">
      <c r="B54" s="26"/>
      <c r="C54" s="28"/>
      <c r="D54" s="28"/>
      <c r="E54" s="26"/>
      <c r="F54" s="26"/>
      <c r="G54" s="26"/>
      <c r="H54" s="26"/>
    </row>
    <row r="55" spans="2:8" x14ac:dyDescent="0.4">
      <c r="B55" s="26"/>
      <c r="C55" s="28"/>
      <c r="D55" s="28"/>
      <c r="E55" s="26"/>
      <c r="F55" s="26"/>
      <c r="G55" s="26"/>
      <c r="H55" s="26"/>
    </row>
    <row r="56" spans="2:8" x14ac:dyDescent="0.4">
      <c r="B56" s="26"/>
      <c r="C56" s="28"/>
      <c r="D56" s="28"/>
      <c r="E56" s="26"/>
      <c r="F56" s="26"/>
      <c r="G56" s="26"/>
      <c r="H56" s="26"/>
    </row>
    <row r="57" spans="2:8" x14ac:dyDescent="0.4">
      <c r="B57" s="26"/>
      <c r="C57" s="28"/>
      <c r="D57" s="28"/>
      <c r="E57" s="26"/>
      <c r="F57" s="26"/>
      <c r="G57" s="26"/>
      <c r="H57" s="26"/>
    </row>
    <row r="58" spans="2:8" x14ac:dyDescent="0.4">
      <c r="B58" s="26"/>
      <c r="C58" s="28"/>
      <c r="D58" s="28"/>
      <c r="E58" s="26"/>
      <c r="F58" s="26"/>
      <c r="G58" s="26"/>
      <c r="H58" s="26"/>
    </row>
    <row r="59" spans="2:8" x14ac:dyDescent="0.4">
      <c r="B59" s="26"/>
      <c r="C59" s="28"/>
      <c r="D59" s="28"/>
      <c r="E59" s="26"/>
      <c r="F59" s="26"/>
      <c r="G59" s="26"/>
      <c r="H59" s="26"/>
    </row>
    <row r="60" spans="2:8" x14ac:dyDescent="0.4">
      <c r="B60" s="26"/>
      <c r="C60" s="28"/>
      <c r="D60" s="28"/>
      <c r="E60" s="26"/>
      <c r="F60" s="26"/>
      <c r="G60" s="26"/>
      <c r="H60" s="26"/>
    </row>
    <row r="61" spans="2:8" x14ac:dyDescent="0.4">
      <c r="B61" s="26"/>
      <c r="C61" s="28"/>
      <c r="D61" s="28"/>
      <c r="E61" s="26"/>
      <c r="F61" s="26"/>
      <c r="G61" s="26"/>
      <c r="H61" s="26"/>
    </row>
    <row r="62" spans="2:8" x14ac:dyDescent="0.4">
      <c r="B62" s="26"/>
      <c r="C62" s="28"/>
      <c r="D62" s="28"/>
      <c r="E62" s="26"/>
      <c r="F62" s="26"/>
      <c r="G62" s="26"/>
      <c r="H62" s="26"/>
    </row>
    <row r="63" spans="2:8" x14ac:dyDescent="0.4">
      <c r="B63" s="26"/>
      <c r="C63" s="28"/>
      <c r="D63" s="28"/>
      <c r="E63" s="26"/>
      <c r="F63" s="26"/>
      <c r="G63" s="26"/>
      <c r="H63" s="26"/>
    </row>
    <row r="64" spans="2:8" x14ac:dyDescent="0.4">
      <c r="B64" s="26"/>
      <c r="C64" s="28"/>
      <c r="D64" s="28"/>
      <c r="E64" s="26"/>
      <c r="F64" s="26"/>
      <c r="G64" s="26"/>
      <c r="H64" s="26"/>
    </row>
    <row r="65" spans="2:8" x14ac:dyDescent="0.4">
      <c r="B65" s="26"/>
      <c r="C65" s="28"/>
      <c r="D65" s="28"/>
      <c r="E65" s="26"/>
      <c r="F65" s="26"/>
      <c r="G65" s="26"/>
      <c r="H65" s="26"/>
    </row>
    <row r="66" spans="2:8" x14ac:dyDescent="0.4">
      <c r="B66" s="26"/>
      <c r="C66" s="28"/>
      <c r="D66" s="28"/>
      <c r="E66" s="26"/>
      <c r="F66" s="26"/>
      <c r="G66" s="26"/>
      <c r="H66" s="26"/>
    </row>
    <row r="67" spans="2:8" x14ac:dyDescent="0.4">
      <c r="B67" s="26"/>
      <c r="C67" s="28"/>
      <c r="D67" s="28"/>
      <c r="E67" s="26"/>
      <c r="F67" s="26"/>
      <c r="G67" s="26"/>
      <c r="H67" s="26"/>
    </row>
    <row r="68" spans="2:8" x14ac:dyDescent="0.4">
      <c r="B68" s="26"/>
      <c r="C68" s="28"/>
      <c r="D68" s="28"/>
      <c r="E68" s="26"/>
      <c r="F68" s="26"/>
      <c r="G68" s="26"/>
      <c r="H68" s="26"/>
    </row>
  </sheetData>
  <phoneticPr fontId="3"/>
  <conditionalFormatting sqref="H5">
    <cfRule type="expression" dxfId="73" priority="1">
      <formula>DAY(TODAY())=15</formula>
    </cfRule>
  </conditionalFormatting>
  <dataValidations count="5">
    <dataValidation type="list" allowBlank="1" showInputMessage="1" showErrorMessage="1" sqref="C8">
      <formula1>"まるが,優水が,二人で"</formula1>
    </dataValidation>
    <dataValidation type="list" allowBlank="1" showInputMessage="1" showErrorMessage="1" sqref="D8">
      <formula1>"まるに,優水に,二人に"</formula1>
    </dataValidation>
    <dataValidation type="list" allowBlank="1" showInputMessage="1" showErrorMessage="1" sqref="D2">
      <formula1>"1,2,3,4,5,6,7,8,9,10,11,12"</formula1>
    </dataValidation>
    <dataValidation type="list" allowBlank="1" showInputMessage="1" showErrorMessage="1" sqref="C9">
      <formula1>"自分が,相手が,二人で"</formula1>
    </dataValidation>
    <dataValidation type="list" allowBlank="1" showInputMessage="1" showErrorMessage="1" sqref="D9">
      <formula1>"自分に,相手に,二人に"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H74"/>
  <sheetViews>
    <sheetView workbookViewId="0">
      <pane ySplit="7" topLeftCell="A8" activePane="bottomLeft" state="frozen"/>
      <selection pane="bottomLeft" activeCell="D9" sqref="D9"/>
    </sheetView>
  </sheetViews>
  <sheetFormatPr defaultColWidth="3.625" defaultRowHeight="18.75" x14ac:dyDescent="0.4"/>
  <cols>
    <col min="1" max="1" width="3.625" style="24" customWidth="1"/>
    <col min="2" max="2" width="9.625" style="27" customWidth="1"/>
    <col min="3" max="7" width="9.625" style="24" customWidth="1"/>
    <col min="8" max="8" width="80.625" style="24" customWidth="1"/>
    <col min="9" max="16384" width="3.625" style="24"/>
  </cols>
  <sheetData>
    <row r="1" spans="2:8" s="13" customFormat="1" x14ac:dyDescent="0.4">
      <c r="B1" s="12"/>
    </row>
    <row r="2" spans="2:8" s="13" customFormat="1" ht="24" x14ac:dyDescent="0.4">
      <c r="B2" s="14">
        <v>2021</v>
      </c>
      <c r="C2" s="13" t="s">
        <v>15</v>
      </c>
      <c r="D2" s="15">
        <v>8</v>
      </c>
      <c r="E2" s="13" t="s">
        <v>16</v>
      </c>
    </row>
    <row r="3" spans="2:8" s="13" customFormat="1" x14ac:dyDescent="0.4">
      <c r="B3" s="12"/>
    </row>
    <row r="4" spans="2:8" s="13" customFormat="1" x14ac:dyDescent="0.4">
      <c r="B4" s="12"/>
      <c r="C4" s="16" t="s">
        <v>17</v>
      </c>
      <c r="E4" s="17" t="s">
        <v>18</v>
      </c>
      <c r="F4" s="18" t="s">
        <v>29</v>
      </c>
      <c r="G4" s="18" t="s">
        <v>19</v>
      </c>
    </row>
    <row r="5" spans="2:8" s="13" customFormat="1" x14ac:dyDescent="0.4">
      <c r="B5" s="12"/>
      <c r="C5" s="19">
        <f>F5-E5</f>
        <v>0</v>
      </c>
      <c r="E5" s="20">
        <f>SUM(テーブル814618739862756[精算])</f>
        <v>0</v>
      </c>
      <c r="F5" s="21">
        <f>SUM(テーブル814618739862756[相手])</f>
        <v>0</v>
      </c>
      <c r="G5" s="21">
        <f>SUM(テーブル814618739862756[自分])</f>
        <v>0</v>
      </c>
      <c r="H5" s="22" t="str">
        <f ca="1">IF(
  OR(
    31&lt;DATE(B2,D2+1,15)-TODAY(),DATE(B2,D2+1,15)-TODAY()&lt;0
  ),"年月が合ってない",IF(
    DATE(B2,D2+1,15)-TODAY()=0,"〆日",IF(
      OR(
        1&lt;=DATE(B2,D2+1,15)-TODAY(),DATE(B2,D2+1,15)-TODAY()&lt;=31
      ),"〆日まであと"&amp;DATE(B2,D2+1,15)-TODAY()&amp;"日"
    )
  )
)</f>
        <v>年月が合ってない</v>
      </c>
    </row>
    <row r="7" spans="2:8" x14ac:dyDescent="0.4">
      <c r="B7" s="23" t="s">
        <v>20</v>
      </c>
      <c r="C7" s="3" t="s">
        <v>21</v>
      </c>
      <c r="D7" s="3" t="s">
        <v>22</v>
      </c>
      <c r="E7" s="24" t="s">
        <v>23</v>
      </c>
      <c r="F7" s="24" t="s">
        <v>28</v>
      </c>
      <c r="G7" s="24" t="s">
        <v>26</v>
      </c>
      <c r="H7" s="24" t="s">
        <v>24</v>
      </c>
    </row>
    <row r="8" spans="2:8" hidden="1" x14ac:dyDescent="0.4">
      <c r="B8" s="25"/>
      <c r="C8" s="11"/>
      <c r="D8" s="11"/>
      <c r="E8" s="26"/>
      <c r="F8" s="26" t="str">
        <f>IFERROR(IF(テーブル814618739862756[[#This Row],[精算]]&lt;&gt;"","",B8*VLOOKUP(テーブル814618739862756[[#This Row],[支払]]&amp;テーブル814618739862756[[#This Row],[実際]],テーブル!$C$4:$F$12,4,0)),"")</f>
        <v/>
      </c>
      <c r="G8" s="26" t="str">
        <f>IFERROR(IF(テーブル814618739862756[[#This Row],[精算]]&lt;&gt;"","",B8*VLOOKUP(D8,テーブル!$C$16:$D$18,2,0)),"")</f>
        <v/>
      </c>
      <c r="H8" s="26"/>
    </row>
    <row r="9" spans="2:8" x14ac:dyDescent="0.4">
      <c r="B9" s="26"/>
      <c r="C9" s="28"/>
      <c r="D9" s="28"/>
      <c r="E9" s="26"/>
      <c r="F9" s="26" t="str">
        <f>IFERROR(IF(テーブル814618739862756[[#This Row],[精算]]&lt;&gt;"","",B9*VLOOKUP(テーブル814618739862756[[#This Row],[支払]]&amp;テーブル814618739862756[[#This Row],[実際]],テーブル!$C$4:$F$12,4,0)),"")</f>
        <v/>
      </c>
      <c r="G9" s="26" t="str">
        <f>IFERROR(IF(テーブル814618739862756[[#This Row],[精算]]&lt;&gt;"","",B9*VLOOKUP(D9,テーブル!$C$16:$D$18,2,0)),"")</f>
        <v/>
      </c>
      <c r="H9" s="26"/>
    </row>
    <row r="10" spans="2:8" x14ac:dyDescent="0.4">
      <c r="B10" s="26"/>
      <c r="C10" s="28"/>
      <c r="D10" s="28"/>
      <c r="E10" s="26"/>
      <c r="F10" s="26"/>
      <c r="G10" s="26"/>
      <c r="H10" s="26"/>
    </row>
    <row r="11" spans="2:8" x14ac:dyDescent="0.4">
      <c r="B11" s="26"/>
      <c r="C11" s="28"/>
      <c r="D11" s="28"/>
      <c r="E11" s="26"/>
      <c r="F11" s="26"/>
      <c r="G11" s="26"/>
      <c r="H11" s="26"/>
    </row>
    <row r="12" spans="2:8" x14ac:dyDescent="0.4">
      <c r="B12" s="26"/>
      <c r="C12" s="28"/>
      <c r="D12" s="28"/>
      <c r="E12" s="26"/>
      <c r="F12" s="26"/>
      <c r="G12" s="26"/>
      <c r="H12" s="26"/>
    </row>
    <row r="13" spans="2:8" x14ac:dyDescent="0.4">
      <c r="B13" s="26"/>
      <c r="C13" s="28"/>
      <c r="D13" s="28"/>
      <c r="E13" s="26"/>
      <c r="F13" s="26"/>
      <c r="G13" s="26"/>
      <c r="H13" s="26"/>
    </row>
    <row r="14" spans="2:8" x14ac:dyDescent="0.4">
      <c r="B14" s="26"/>
      <c r="C14" s="28"/>
      <c r="D14" s="28"/>
      <c r="E14" s="26"/>
      <c r="F14" s="26"/>
      <c r="G14" s="26"/>
      <c r="H14" s="26"/>
    </row>
    <row r="15" spans="2:8" x14ac:dyDescent="0.4">
      <c r="B15" s="26"/>
      <c r="C15" s="28"/>
      <c r="D15" s="28"/>
      <c r="E15" s="26"/>
      <c r="F15" s="26"/>
      <c r="G15" s="26"/>
      <c r="H15" s="26"/>
    </row>
    <row r="16" spans="2:8" x14ac:dyDescent="0.4">
      <c r="B16" s="26"/>
      <c r="C16" s="28"/>
      <c r="D16" s="28"/>
      <c r="E16" s="26"/>
      <c r="F16" s="26"/>
      <c r="G16" s="26"/>
      <c r="H16" s="26"/>
    </row>
    <row r="17" spans="2:8" x14ac:dyDescent="0.4">
      <c r="B17" s="26"/>
      <c r="C17" s="28"/>
      <c r="D17" s="28"/>
      <c r="E17" s="26"/>
      <c r="F17" s="26"/>
      <c r="G17" s="26"/>
      <c r="H17" s="26"/>
    </row>
    <row r="18" spans="2:8" x14ac:dyDescent="0.4">
      <c r="B18" s="26"/>
      <c r="C18" s="28"/>
      <c r="D18" s="28"/>
      <c r="E18" s="26"/>
      <c r="F18" s="26"/>
      <c r="G18" s="26"/>
      <c r="H18" s="26"/>
    </row>
    <row r="19" spans="2:8" x14ac:dyDescent="0.4">
      <c r="B19" s="26"/>
      <c r="C19" s="28"/>
      <c r="D19" s="28"/>
      <c r="E19" s="26"/>
      <c r="F19" s="26"/>
      <c r="G19" s="26"/>
      <c r="H19" s="26"/>
    </row>
    <row r="20" spans="2:8" x14ac:dyDescent="0.4">
      <c r="B20" s="26"/>
      <c r="C20" s="28"/>
      <c r="D20" s="28"/>
      <c r="E20" s="26"/>
      <c r="F20" s="26"/>
      <c r="G20" s="26"/>
      <c r="H20" s="26"/>
    </row>
    <row r="21" spans="2:8" x14ac:dyDescent="0.4">
      <c r="B21" s="26"/>
      <c r="C21" s="28"/>
      <c r="D21" s="28"/>
      <c r="E21" s="26"/>
      <c r="F21" s="26"/>
      <c r="G21" s="26"/>
      <c r="H21" s="26"/>
    </row>
    <row r="22" spans="2:8" x14ac:dyDescent="0.4">
      <c r="B22" s="26"/>
      <c r="C22" s="28"/>
      <c r="D22" s="28"/>
      <c r="E22" s="26"/>
      <c r="F22" s="26"/>
      <c r="G22" s="26"/>
      <c r="H22" s="26"/>
    </row>
    <row r="23" spans="2:8" x14ac:dyDescent="0.4">
      <c r="B23" s="26"/>
      <c r="C23" s="28"/>
      <c r="D23" s="28"/>
      <c r="E23" s="26"/>
      <c r="F23" s="26"/>
      <c r="G23" s="26"/>
      <c r="H23" s="26"/>
    </row>
    <row r="24" spans="2:8" x14ac:dyDescent="0.4">
      <c r="B24" s="26"/>
      <c r="C24" s="28"/>
      <c r="D24" s="28"/>
      <c r="E24" s="26"/>
      <c r="F24" s="26"/>
      <c r="G24" s="26"/>
      <c r="H24" s="26"/>
    </row>
    <row r="25" spans="2:8" x14ac:dyDescent="0.4">
      <c r="B25" s="26"/>
      <c r="C25" s="28"/>
      <c r="D25" s="28"/>
      <c r="E25" s="26"/>
      <c r="F25" s="26"/>
      <c r="G25" s="26"/>
      <c r="H25" s="26"/>
    </row>
    <row r="26" spans="2:8" x14ac:dyDescent="0.4">
      <c r="B26" s="26"/>
      <c r="C26" s="28"/>
      <c r="D26" s="28"/>
      <c r="E26" s="26"/>
      <c r="F26" s="26"/>
      <c r="G26" s="26"/>
      <c r="H26" s="26"/>
    </row>
    <row r="27" spans="2:8" x14ac:dyDescent="0.4">
      <c r="B27" s="26"/>
      <c r="C27" s="28"/>
      <c r="D27" s="28"/>
      <c r="E27" s="26"/>
      <c r="F27" s="26"/>
      <c r="G27" s="26"/>
      <c r="H27" s="26"/>
    </row>
    <row r="28" spans="2:8" x14ac:dyDescent="0.4">
      <c r="B28" s="26"/>
      <c r="C28" s="28"/>
      <c r="D28" s="28"/>
      <c r="E28" s="26"/>
      <c r="F28" s="26"/>
      <c r="G28" s="26"/>
      <c r="H28" s="26"/>
    </row>
    <row r="29" spans="2:8" x14ac:dyDescent="0.4">
      <c r="B29" s="26"/>
      <c r="C29" s="28"/>
      <c r="D29" s="28"/>
      <c r="E29" s="26"/>
      <c r="F29" s="26"/>
      <c r="G29" s="26"/>
      <c r="H29" s="26"/>
    </row>
    <row r="30" spans="2:8" x14ac:dyDescent="0.4">
      <c r="B30" s="26"/>
      <c r="C30" s="28"/>
      <c r="D30" s="28"/>
      <c r="E30" s="26"/>
      <c r="F30" s="26"/>
      <c r="G30" s="26"/>
      <c r="H30" s="26"/>
    </row>
    <row r="31" spans="2:8" x14ac:dyDescent="0.4">
      <c r="B31" s="26"/>
      <c r="C31" s="28"/>
      <c r="D31" s="28"/>
      <c r="E31" s="26"/>
      <c r="F31" s="26"/>
      <c r="G31" s="26"/>
      <c r="H31" s="26"/>
    </row>
    <row r="32" spans="2:8" x14ac:dyDescent="0.4">
      <c r="B32" s="26"/>
      <c r="C32" s="28"/>
      <c r="D32" s="28"/>
      <c r="E32" s="26"/>
      <c r="F32" s="26"/>
      <c r="G32" s="26"/>
      <c r="H32" s="26"/>
    </row>
    <row r="33" spans="2:8" x14ac:dyDescent="0.4">
      <c r="B33" s="26"/>
      <c r="C33" s="28"/>
      <c r="D33" s="28"/>
      <c r="E33" s="26"/>
      <c r="F33" s="26"/>
      <c r="G33" s="26"/>
      <c r="H33" s="26"/>
    </row>
    <row r="34" spans="2:8" x14ac:dyDescent="0.4">
      <c r="B34" s="26"/>
      <c r="C34" s="28"/>
      <c r="D34" s="28"/>
      <c r="E34" s="26"/>
      <c r="F34" s="26"/>
      <c r="G34" s="26"/>
      <c r="H34" s="26"/>
    </row>
    <row r="35" spans="2:8" x14ac:dyDescent="0.4">
      <c r="B35" s="26"/>
      <c r="C35" s="28"/>
      <c r="D35" s="28"/>
      <c r="E35" s="26"/>
      <c r="F35" s="26"/>
      <c r="G35" s="26"/>
      <c r="H35" s="26"/>
    </row>
    <row r="36" spans="2:8" x14ac:dyDescent="0.4">
      <c r="B36" s="26"/>
      <c r="C36" s="28"/>
      <c r="D36" s="28"/>
      <c r="E36" s="26"/>
      <c r="F36" s="26"/>
      <c r="G36" s="26"/>
      <c r="H36" s="26"/>
    </row>
    <row r="37" spans="2:8" x14ac:dyDescent="0.4">
      <c r="B37" s="26"/>
      <c r="C37" s="28"/>
      <c r="D37" s="28"/>
      <c r="E37" s="26"/>
      <c r="F37" s="26"/>
      <c r="G37" s="26"/>
      <c r="H37" s="26"/>
    </row>
    <row r="38" spans="2:8" x14ac:dyDescent="0.4">
      <c r="B38" s="26"/>
      <c r="C38" s="28"/>
      <c r="D38" s="28"/>
      <c r="E38" s="26"/>
      <c r="F38" s="26"/>
      <c r="G38" s="26"/>
      <c r="H38" s="26"/>
    </row>
    <row r="39" spans="2:8" x14ac:dyDescent="0.4">
      <c r="B39" s="26"/>
      <c r="C39" s="28"/>
      <c r="D39" s="28"/>
      <c r="E39" s="26"/>
      <c r="F39" s="26"/>
      <c r="G39" s="26"/>
      <c r="H39" s="26"/>
    </row>
    <row r="40" spans="2:8" x14ac:dyDescent="0.4">
      <c r="B40" s="26"/>
      <c r="C40" s="28"/>
      <c r="D40" s="28"/>
      <c r="E40" s="26"/>
      <c r="F40" s="26"/>
      <c r="G40" s="26"/>
      <c r="H40" s="26"/>
    </row>
    <row r="41" spans="2:8" x14ac:dyDescent="0.4">
      <c r="B41" s="26"/>
      <c r="C41" s="28"/>
      <c r="D41" s="28"/>
      <c r="E41" s="26"/>
      <c r="F41" s="26"/>
      <c r="G41" s="26"/>
      <c r="H41" s="26"/>
    </row>
    <row r="42" spans="2:8" x14ac:dyDescent="0.4">
      <c r="B42" s="26"/>
      <c r="C42" s="28"/>
      <c r="D42" s="28"/>
      <c r="E42" s="26"/>
      <c r="F42" s="26"/>
      <c r="G42" s="26"/>
      <c r="H42" s="26"/>
    </row>
    <row r="43" spans="2:8" x14ac:dyDescent="0.4">
      <c r="B43" s="26"/>
      <c r="C43" s="28"/>
      <c r="D43" s="28"/>
      <c r="E43" s="26"/>
      <c r="F43" s="26"/>
      <c r="G43" s="26"/>
      <c r="H43" s="26"/>
    </row>
    <row r="44" spans="2:8" x14ac:dyDescent="0.4">
      <c r="B44" s="26"/>
      <c r="C44" s="28"/>
      <c r="D44" s="28"/>
      <c r="E44" s="26"/>
      <c r="F44" s="26"/>
      <c r="G44" s="26"/>
      <c r="H44" s="26"/>
    </row>
    <row r="45" spans="2:8" x14ac:dyDescent="0.4">
      <c r="B45" s="26"/>
      <c r="C45" s="28"/>
      <c r="D45" s="28"/>
      <c r="E45" s="26"/>
      <c r="F45" s="26"/>
      <c r="G45" s="26"/>
      <c r="H45" s="26"/>
    </row>
    <row r="46" spans="2:8" x14ac:dyDescent="0.4">
      <c r="B46" s="26"/>
      <c r="C46" s="28"/>
      <c r="D46" s="28"/>
      <c r="E46" s="26"/>
      <c r="F46" s="26"/>
      <c r="G46" s="26"/>
      <c r="H46" s="26"/>
    </row>
    <row r="47" spans="2:8" x14ac:dyDescent="0.4">
      <c r="B47" s="26"/>
      <c r="C47" s="28"/>
      <c r="D47" s="28"/>
      <c r="E47" s="26"/>
      <c r="F47" s="26"/>
      <c r="G47" s="26"/>
      <c r="H47" s="26"/>
    </row>
    <row r="48" spans="2:8" x14ac:dyDescent="0.4">
      <c r="B48" s="26"/>
      <c r="C48" s="28"/>
      <c r="D48" s="28"/>
      <c r="E48" s="26"/>
      <c r="F48" s="26"/>
      <c r="G48" s="26"/>
      <c r="H48" s="26"/>
    </row>
    <row r="49" spans="2:8" x14ac:dyDescent="0.4">
      <c r="B49" s="26"/>
      <c r="C49" s="28"/>
      <c r="D49" s="28"/>
      <c r="E49" s="26"/>
      <c r="F49" s="26"/>
      <c r="G49" s="26"/>
      <c r="H49" s="26"/>
    </row>
    <row r="50" spans="2:8" x14ac:dyDescent="0.4">
      <c r="B50" s="26"/>
      <c r="C50" s="28"/>
      <c r="D50" s="28"/>
      <c r="E50" s="26"/>
      <c r="F50" s="26"/>
      <c r="G50" s="26"/>
      <c r="H50" s="26"/>
    </row>
    <row r="51" spans="2:8" x14ac:dyDescent="0.4">
      <c r="B51" s="26"/>
      <c r="C51" s="28"/>
      <c r="D51" s="28"/>
      <c r="E51" s="26"/>
      <c r="F51" s="26"/>
      <c r="G51" s="26"/>
      <c r="H51" s="26"/>
    </row>
    <row r="52" spans="2:8" x14ac:dyDescent="0.4">
      <c r="B52" s="26"/>
      <c r="C52" s="28"/>
      <c r="D52" s="28"/>
      <c r="E52" s="26"/>
      <c r="F52" s="26"/>
      <c r="G52" s="26"/>
      <c r="H52" s="26"/>
    </row>
    <row r="53" spans="2:8" x14ac:dyDescent="0.4">
      <c r="B53" s="26"/>
      <c r="C53" s="28"/>
      <c r="D53" s="28"/>
      <c r="E53" s="26"/>
      <c r="F53" s="26"/>
      <c r="G53" s="26"/>
      <c r="H53" s="26"/>
    </row>
    <row r="54" spans="2:8" x14ac:dyDescent="0.4">
      <c r="B54" s="26"/>
      <c r="C54" s="28"/>
      <c r="D54" s="28"/>
      <c r="E54" s="26"/>
      <c r="F54" s="26"/>
      <c r="G54" s="26"/>
      <c r="H54" s="26"/>
    </row>
    <row r="55" spans="2:8" x14ac:dyDescent="0.4">
      <c r="B55" s="26"/>
      <c r="C55" s="28"/>
      <c r="D55" s="28"/>
      <c r="E55" s="26"/>
      <c r="F55" s="26"/>
      <c r="G55" s="26"/>
      <c r="H55" s="26"/>
    </row>
    <row r="56" spans="2:8" x14ac:dyDescent="0.4">
      <c r="B56" s="26"/>
      <c r="C56" s="28"/>
      <c r="D56" s="28"/>
      <c r="E56" s="26"/>
      <c r="F56" s="26"/>
      <c r="G56" s="26"/>
      <c r="H56" s="26"/>
    </row>
    <row r="57" spans="2:8" x14ac:dyDescent="0.4">
      <c r="B57" s="26"/>
      <c r="C57" s="28"/>
      <c r="D57" s="28"/>
      <c r="E57" s="26"/>
      <c r="F57" s="26"/>
      <c r="G57" s="26"/>
      <c r="H57" s="26"/>
    </row>
    <row r="58" spans="2:8" x14ac:dyDescent="0.4">
      <c r="B58" s="26"/>
      <c r="C58" s="28"/>
      <c r="D58" s="28"/>
      <c r="E58" s="26"/>
      <c r="F58" s="26"/>
      <c r="G58" s="26"/>
      <c r="H58" s="26"/>
    </row>
    <row r="59" spans="2:8" x14ac:dyDescent="0.4">
      <c r="B59" s="26"/>
      <c r="C59" s="28"/>
      <c r="D59" s="28"/>
      <c r="E59" s="26"/>
      <c r="F59" s="26"/>
      <c r="G59" s="26"/>
      <c r="H59" s="26"/>
    </row>
    <row r="60" spans="2:8" x14ac:dyDescent="0.4">
      <c r="B60" s="26"/>
      <c r="C60" s="28"/>
      <c r="D60" s="28"/>
      <c r="E60" s="26"/>
      <c r="F60" s="26"/>
      <c r="G60" s="26"/>
      <c r="H60" s="26"/>
    </row>
    <row r="61" spans="2:8" x14ac:dyDescent="0.4">
      <c r="B61" s="26"/>
      <c r="C61" s="28"/>
      <c r="D61" s="28"/>
      <c r="E61" s="26"/>
      <c r="F61" s="26"/>
      <c r="G61" s="26"/>
      <c r="H61" s="26"/>
    </row>
    <row r="62" spans="2:8" x14ac:dyDescent="0.4">
      <c r="B62" s="26"/>
      <c r="C62" s="28"/>
      <c r="D62" s="28"/>
      <c r="E62" s="26"/>
      <c r="F62" s="26"/>
      <c r="G62" s="26"/>
      <c r="H62" s="26"/>
    </row>
    <row r="63" spans="2:8" x14ac:dyDescent="0.4">
      <c r="B63" s="26"/>
      <c r="C63" s="28"/>
      <c r="D63" s="28"/>
      <c r="E63" s="26"/>
      <c r="F63" s="26"/>
      <c r="G63" s="26"/>
      <c r="H63" s="26"/>
    </row>
    <row r="64" spans="2:8" x14ac:dyDescent="0.4">
      <c r="B64" s="26"/>
      <c r="C64" s="28"/>
      <c r="D64" s="28"/>
      <c r="E64" s="26"/>
      <c r="F64" s="26"/>
      <c r="G64" s="26"/>
      <c r="H64" s="26"/>
    </row>
    <row r="65" spans="2:8" x14ac:dyDescent="0.4">
      <c r="B65" s="26"/>
      <c r="C65" s="28"/>
      <c r="D65" s="28"/>
      <c r="E65" s="26"/>
      <c r="F65" s="26"/>
      <c r="G65" s="26"/>
      <c r="H65" s="26"/>
    </row>
    <row r="66" spans="2:8" x14ac:dyDescent="0.4">
      <c r="B66" s="26"/>
      <c r="C66" s="28"/>
      <c r="D66" s="28"/>
      <c r="E66" s="26"/>
      <c r="F66" s="26"/>
      <c r="G66" s="26"/>
      <c r="H66" s="26"/>
    </row>
    <row r="67" spans="2:8" x14ac:dyDescent="0.4">
      <c r="B67" s="26"/>
      <c r="C67" s="28"/>
      <c r="D67" s="28"/>
      <c r="E67" s="26"/>
      <c r="F67" s="26"/>
      <c r="G67" s="26"/>
      <c r="H67" s="26"/>
    </row>
    <row r="68" spans="2:8" x14ac:dyDescent="0.4">
      <c r="B68" s="26"/>
      <c r="C68" s="28"/>
      <c r="D68" s="28"/>
      <c r="E68" s="26"/>
      <c r="F68" s="26"/>
      <c r="G68" s="26"/>
      <c r="H68" s="26"/>
    </row>
    <row r="69" spans="2:8" x14ac:dyDescent="0.4">
      <c r="B69" s="26"/>
      <c r="C69" s="28"/>
      <c r="D69" s="28"/>
      <c r="E69" s="26"/>
      <c r="F69" s="26"/>
      <c r="G69" s="26"/>
      <c r="H69" s="26"/>
    </row>
    <row r="70" spans="2:8" x14ac:dyDescent="0.4">
      <c r="B70" s="26"/>
      <c r="C70" s="28"/>
      <c r="D70" s="28"/>
      <c r="E70" s="26"/>
      <c r="F70" s="26"/>
      <c r="G70" s="26"/>
      <c r="H70" s="26"/>
    </row>
    <row r="71" spans="2:8" x14ac:dyDescent="0.4">
      <c r="B71" s="26"/>
      <c r="C71" s="28"/>
      <c r="D71" s="28"/>
      <c r="E71" s="26"/>
      <c r="F71" s="26"/>
      <c r="G71" s="26"/>
      <c r="H71" s="26"/>
    </row>
    <row r="72" spans="2:8" x14ac:dyDescent="0.4">
      <c r="B72" s="26"/>
      <c r="C72" s="28"/>
      <c r="D72" s="28"/>
      <c r="E72" s="26"/>
      <c r="F72" s="26"/>
      <c r="G72" s="26"/>
      <c r="H72" s="26"/>
    </row>
    <row r="73" spans="2:8" x14ac:dyDescent="0.4">
      <c r="B73" s="26"/>
      <c r="C73" s="28"/>
      <c r="D73" s="28"/>
      <c r="E73" s="26"/>
      <c r="F73" s="26"/>
      <c r="G73" s="26"/>
      <c r="H73" s="26"/>
    </row>
    <row r="74" spans="2:8" x14ac:dyDescent="0.4">
      <c r="B74" s="26"/>
      <c r="C74" s="28"/>
      <c r="D74" s="28"/>
      <c r="E74" s="26"/>
      <c r="F74" s="26"/>
      <c r="G74" s="26"/>
      <c r="H74" s="26"/>
    </row>
  </sheetData>
  <phoneticPr fontId="3"/>
  <conditionalFormatting sqref="H5">
    <cfRule type="expression" dxfId="57" priority="1">
      <formula>DAY(TODAY())=15</formula>
    </cfRule>
  </conditionalFormatting>
  <dataValidations count="5">
    <dataValidation type="list" allowBlank="1" showInputMessage="1" showErrorMessage="1" sqref="C8">
      <formula1>"まるが,優水が,二人で"</formula1>
    </dataValidation>
    <dataValidation type="list" allowBlank="1" showInputMessage="1" showErrorMessage="1" sqref="D8">
      <formula1>"まるに,優水に,二人に"</formula1>
    </dataValidation>
    <dataValidation type="list" allowBlank="1" showInputMessage="1" showErrorMessage="1" sqref="D2">
      <formula1>"1,2,3,4,5,6,7,8,9,10,11,12"</formula1>
    </dataValidation>
    <dataValidation type="list" allowBlank="1" showInputMessage="1" showErrorMessage="1" sqref="C9">
      <formula1>"自分が,相手が,二人で"</formula1>
    </dataValidation>
    <dataValidation type="list" allowBlank="1" showInputMessage="1" showErrorMessage="1" sqref="D9">
      <formula1>"自分に,相手に,二人に"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H9"/>
  <sheetViews>
    <sheetView workbookViewId="0">
      <pane ySplit="7" topLeftCell="A8" activePane="bottomLeft" state="frozen"/>
      <selection pane="bottomLeft" activeCell="E16" sqref="E16"/>
    </sheetView>
  </sheetViews>
  <sheetFormatPr defaultColWidth="3.625" defaultRowHeight="18.75" x14ac:dyDescent="0.4"/>
  <cols>
    <col min="1" max="1" width="3.625" style="24" customWidth="1"/>
    <col min="2" max="2" width="9.625" style="27" customWidth="1"/>
    <col min="3" max="7" width="9.625" style="24" customWidth="1"/>
    <col min="8" max="8" width="80.625" style="24" customWidth="1"/>
    <col min="9" max="16384" width="3.625" style="24"/>
  </cols>
  <sheetData>
    <row r="1" spans="2:8" s="13" customFormat="1" x14ac:dyDescent="0.4">
      <c r="B1" s="12"/>
    </row>
    <row r="2" spans="2:8" s="13" customFormat="1" ht="24" x14ac:dyDescent="0.4">
      <c r="B2" s="14">
        <v>2021</v>
      </c>
      <c r="C2" s="13" t="s">
        <v>15</v>
      </c>
      <c r="D2" s="15">
        <v>9</v>
      </c>
      <c r="E2" s="13" t="s">
        <v>16</v>
      </c>
    </row>
    <row r="3" spans="2:8" s="13" customFormat="1" x14ac:dyDescent="0.4">
      <c r="B3" s="12"/>
    </row>
    <row r="4" spans="2:8" s="13" customFormat="1" x14ac:dyDescent="0.4">
      <c r="B4" s="12"/>
      <c r="C4" s="16" t="s">
        <v>17</v>
      </c>
      <c r="E4" s="17" t="s">
        <v>18</v>
      </c>
      <c r="F4" s="18" t="s">
        <v>30</v>
      </c>
      <c r="G4" s="18" t="s">
        <v>19</v>
      </c>
    </row>
    <row r="5" spans="2:8" s="13" customFormat="1" x14ac:dyDescent="0.4">
      <c r="B5" s="12"/>
      <c r="C5" s="19">
        <f>F5-E5</f>
        <v>0</v>
      </c>
      <c r="E5" s="20">
        <f>SUM(テーブル814618739862755[精算])</f>
        <v>0</v>
      </c>
      <c r="F5" s="21">
        <f>SUM(テーブル814618739862755[相手])</f>
        <v>0</v>
      </c>
      <c r="G5" s="21">
        <f>SUM(テーブル814618739862755[自分])</f>
        <v>0</v>
      </c>
      <c r="H5" s="22" t="str">
        <f ca="1">IF(
  OR(
    31&lt;DATE(B2,D2+1,15)-TODAY(),DATE(B2,D2+1,15)-TODAY()&lt;0
  ),"年月が合ってない",IF(
    DATE(B2,D2+1,15)-TODAY()=0,"〆日",IF(
      OR(
        1&lt;=DATE(B2,D2+1,15)-TODAY(),DATE(B2,D2+1,15)-TODAY()&lt;=31
      ),"〆日まであと"&amp;DATE(B2,D2+1,15)-TODAY()&amp;"日"
    )
  )
)</f>
        <v>〆日まであと11日</v>
      </c>
    </row>
    <row r="7" spans="2:8" x14ac:dyDescent="0.4">
      <c r="B7" s="23" t="s">
        <v>20</v>
      </c>
      <c r="C7" s="3" t="s">
        <v>21</v>
      </c>
      <c r="D7" s="3" t="s">
        <v>22</v>
      </c>
      <c r="E7" s="24" t="s">
        <v>23</v>
      </c>
      <c r="F7" s="24" t="s">
        <v>27</v>
      </c>
      <c r="G7" s="24" t="s">
        <v>25</v>
      </c>
      <c r="H7" s="24" t="s">
        <v>24</v>
      </c>
    </row>
    <row r="8" spans="2:8" hidden="1" x14ac:dyDescent="0.4">
      <c r="B8" s="25"/>
      <c r="C8" s="11"/>
      <c r="D8" s="11"/>
      <c r="E8" s="26"/>
      <c r="F8" s="26" t="str">
        <f>IFERROR(IF(テーブル814618739862755[[#This Row],[精算]]&lt;&gt;"","",B8*VLOOKUP(テーブル814618739862755[[#This Row],[支払]]&amp;テーブル814618739862755[[#This Row],[実際]],テーブル!$C$4:$F$12,4,0)),"")</f>
        <v/>
      </c>
      <c r="G8" s="26" t="str">
        <f>IFERROR(IF(テーブル81461873986275[[#This Row],[精算]]&lt;&gt;"","",B8*VLOOKUP(D8,テーブル!$C$16:$D$18,2,0)),"")</f>
        <v/>
      </c>
      <c r="H8" s="26"/>
    </row>
    <row r="9" spans="2:8" x14ac:dyDescent="0.4">
      <c r="B9" s="26"/>
      <c r="C9" s="28"/>
      <c r="D9" s="28"/>
      <c r="E9" s="26"/>
      <c r="F9" s="26" t="str">
        <f>IFERROR(IF(テーブル814618739862755[[#This Row],[精算]]&lt;&gt;"","",B9*VLOOKUP(テーブル814618739862755[[#This Row],[支払]]&amp;テーブル814618739862755[[#This Row],[実際]],テーブル!$C$4:$F$12,4,0)),"")</f>
        <v/>
      </c>
      <c r="G9" s="26" t="str">
        <f>IFERROR(IF(テーブル81461873986275[[#This Row],[精算]]&lt;&gt;"","",B9*VLOOKUP(D9,テーブル!$C$16:$D$18,2,0)),"")</f>
        <v/>
      </c>
      <c r="H9" s="26"/>
    </row>
  </sheetData>
  <phoneticPr fontId="3"/>
  <conditionalFormatting sqref="H5">
    <cfRule type="expression" dxfId="41" priority="1">
      <formula>DAY(TODAY())=15</formula>
    </cfRule>
  </conditionalFormatting>
  <dataValidations count="5">
    <dataValidation type="list" allowBlank="1" showInputMessage="1" showErrorMessage="1" sqref="C8">
      <formula1>"まるが,優水が,二人で"</formula1>
    </dataValidation>
    <dataValidation type="list" allowBlank="1" showInputMessage="1" showErrorMessage="1" sqref="D8">
      <formula1>"まるに,優水に,二人に"</formula1>
    </dataValidation>
    <dataValidation type="list" allowBlank="1" showInputMessage="1" showErrorMessage="1" sqref="D2">
      <formula1>"1,2,3,4,5,6,7,8,9,10,11,12"</formula1>
    </dataValidation>
    <dataValidation type="list" allowBlank="1" showInputMessage="1" showErrorMessage="1" sqref="C9">
      <formula1>"自分が,相手が,二人で"</formula1>
    </dataValidation>
    <dataValidation type="list" allowBlank="1" showInputMessage="1" showErrorMessage="1" sqref="D9">
      <formula1>"自分に,相手に,二人に"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22"/>
  <sheetViews>
    <sheetView workbookViewId="0">
      <selection activeCell="F16" sqref="F16"/>
    </sheetView>
  </sheetViews>
  <sheetFormatPr defaultColWidth="3.625" defaultRowHeight="18.75" x14ac:dyDescent="0.4"/>
  <cols>
    <col min="1" max="2" width="3.625" style="2"/>
    <col min="3" max="3" width="25" style="2" bestFit="1" customWidth="1"/>
    <col min="4" max="4" width="13.25" style="2" bestFit="1" customWidth="1"/>
    <col min="5" max="5" width="17.25" style="2" bestFit="1" customWidth="1"/>
    <col min="6" max="6" width="13.25" style="2" bestFit="1" customWidth="1"/>
    <col min="7" max="8" width="3.625" style="2"/>
    <col min="9" max="9" width="57.75" style="2" bestFit="1" customWidth="1"/>
    <col min="10" max="10" width="9.125" style="2" bestFit="1" customWidth="1"/>
    <col min="11" max="12" width="3.625" style="2"/>
    <col min="13" max="13" width="53.5" style="2" bestFit="1" customWidth="1"/>
    <col min="14" max="16384" width="3.625" style="2"/>
  </cols>
  <sheetData>
    <row r="2" spans="2:9" x14ac:dyDescent="0.4">
      <c r="B2" s="1" t="s">
        <v>31</v>
      </c>
      <c r="D2" s="3"/>
      <c r="E2" s="3"/>
      <c r="F2" s="3"/>
      <c r="G2" s="3"/>
      <c r="H2" s="4" t="s">
        <v>0</v>
      </c>
    </row>
    <row r="3" spans="2:9" x14ac:dyDescent="0.4">
      <c r="C3" s="5" t="s">
        <v>1</v>
      </c>
      <c r="D3" s="5" t="s">
        <v>2</v>
      </c>
      <c r="E3" s="5" t="s">
        <v>3</v>
      </c>
      <c r="F3" s="5" t="s">
        <v>4</v>
      </c>
      <c r="G3" s="3"/>
      <c r="I3" s="2" t="s">
        <v>5</v>
      </c>
    </row>
    <row r="4" spans="2:9" x14ac:dyDescent="0.4">
      <c r="C4" s="6" t="str">
        <f>テーブル!$D4&amp;テーブル!$E4</f>
        <v>自分が自分に</v>
      </c>
      <c r="D4" s="7" t="s">
        <v>35</v>
      </c>
      <c r="E4" s="7" t="s">
        <v>36</v>
      </c>
      <c r="F4" s="7">
        <v>0</v>
      </c>
      <c r="G4" s="3"/>
    </row>
    <row r="5" spans="2:9" x14ac:dyDescent="0.4">
      <c r="C5" s="6" t="str">
        <f>テーブル!$D5&amp;テーブル!$E5</f>
        <v>自分が相手に</v>
      </c>
      <c r="D5" s="7" t="s">
        <v>35</v>
      </c>
      <c r="E5" s="7" t="s">
        <v>32</v>
      </c>
      <c r="F5" s="7">
        <v>1</v>
      </c>
      <c r="G5" s="3"/>
      <c r="H5" s="4" t="s">
        <v>7</v>
      </c>
    </row>
    <row r="6" spans="2:9" x14ac:dyDescent="0.4">
      <c r="C6" s="6" t="str">
        <f>テーブル!$D6&amp;テーブル!$E6</f>
        <v>自分が二人に</v>
      </c>
      <c r="D6" s="7" t="s">
        <v>35</v>
      </c>
      <c r="E6" s="7" t="s">
        <v>6</v>
      </c>
      <c r="F6" s="7">
        <v>0.5</v>
      </c>
      <c r="G6" s="3"/>
      <c r="I6" s="8" t="s">
        <v>37</v>
      </c>
    </row>
    <row r="7" spans="2:9" x14ac:dyDescent="0.4">
      <c r="C7" s="6" t="str">
        <f>テーブル!$D7&amp;テーブル!$E7</f>
        <v>相手が自分に</v>
      </c>
      <c r="D7" s="7" t="s">
        <v>33</v>
      </c>
      <c r="E7" s="7" t="s">
        <v>36</v>
      </c>
      <c r="F7" s="7">
        <v>-1</v>
      </c>
      <c r="G7" s="3"/>
      <c r="H7" s="4"/>
      <c r="I7" s="2" t="s">
        <v>9</v>
      </c>
    </row>
    <row r="8" spans="2:9" x14ac:dyDescent="0.4">
      <c r="C8" s="6" t="str">
        <f>テーブル!$D8&amp;テーブル!$E8</f>
        <v>相手が相手に</v>
      </c>
      <c r="D8" s="7" t="s">
        <v>33</v>
      </c>
      <c r="E8" s="7" t="s">
        <v>34</v>
      </c>
      <c r="F8" s="7">
        <v>0</v>
      </c>
      <c r="G8" s="3"/>
      <c r="I8" s="8" t="s">
        <v>10</v>
      </c>
    </row>
    <row r="9" spans="2:9" x14ac:dyDescent="0.4">
      <c r="C9" s="6" t="str">
        <f>テーブル!$D9&amp;テーブル!$E9</f>
        <v>相手が二人に</v>
      </c>
      <c r="D9" s="7" t="s">
        <v>33</v>
      </c>
      <c r="E9" s="7" t="s">
        <v>6</v>
      </c>
      <c r="F9" s="7">
        <v>-0.5</v>
      </c>
      <c r="G9" s="3"/>
      <c r="I9" s="2" t="s">
        <v>11</v>
      </c>
    </row>
    <row r="10" spans="2:9" x14ac:dyDescent="0.4">
      <c r="C10" s="6" t="str">
        <f>テーブル!$D10&amp;テーブル!$E10</f>
        <v>二人で自分に</v>
      </c>
      <c r="D10" s="7" t="s">
        <v>8</v>
      </c>
      <c r="E10" s="7" t="s">
        <v>36</v>
      </c>
      <c r="F10" s="7">
        <v>-0.5</v>
      </c>
      <c r="G10" s="3"/>
      <c r="I10" s="2" t="s">
        <v>12</v>
      </c>
    </row>
    <row r="11" spans="2:9" x14ac:dyDescent="0.4">
      <c r="C11" s="6" t="str">
        <f>テーブル!$D11&amp;テーブル!$E11</f>
        <v>二人で相手に</v>
      </c>
      <c r="D11" s="7" t="s">
        <v>8</v>
      </c>
      <c r="E11" s="7" t="s">
        <v>34</v>
      </c>
      <c r="F11" s="7">
        <v>0.5</v>
      </c>
      <c r="G11" s="3"/>
    </row>
    <row r="12" spans="2:9" x14ac:dyDescent="0.4">
      <c r="C12" s="6" t="str">
        <f>テーブル!$D12&amp;テーブル!$E12</f>
        <v>二人で二人に</v>
      </c>
      <c r="D12" s="7" t="s">
        <v>8</v>
      </c>
      <c r="E12" s="7" t="s">
        <v>6</v>
      </c>
      <c r="F12" s="7">
        <v>0</v>
      </c>
      <c r="G12" s="3"/>
    </row>
    <row r="13" spans="2:9" x14ac:dyDescent="0.4">
      <c r="C13" s="6"/>
      <c r="D13" s="7"/>
      <c r="E13" s="7"/>
      <c r="F13" s="7"/>
      <c r="G13" s="3"/>
      <c r="I13" s="2" t="s">
        <v>13</v>
      </c>
    </row>
    <row r="14" spans="2:9" x14ac:dyDescent="0.4">
      <c r="B14" s="1" t="s">
        <v>38</v>
      </c>
      <c r="C14" s="9"/>
      <c r="D14" s="9"/>
      <c r="E14" s="7"/>
      <c r="F14" s="7"/>
      <c r="G14" s="3"/>
      <c r="I14" s="2" t="s">
        <v>14</v>
      </c>
    </row>
    <row r="15" spans="2:9" x14ac:dyDescent="0.4">
      <c r="B15" s="3"/>
      <c r="C15" s="5" t="s">
        <v>3</v>
      </c>
      <c r="D15" s="5" t="s">
        <v>4</v>
      </c>
      <c r="E15" s="10"/>
      <c r="F15" s="9"/>
      <c r="G15" s="3"/>
    </row>
    <row r="16" spans="2:9" x14ac:dyDescent="0.4">
      <c r="B16" s="3"/>
      <c r="C16" s="7" t="s">
        <v>36</v>
      </c>
      <c r="D16" s="7">
        <v>1</v>
      </c>
      <c r="E16" s="10"/>
      <c r="F16" s="9"/>
      <c r="G16" s="3"/>
      <c r="I16" s="2" t="s">
        <v>39</v>
      </c>
    </row>
    <row r="17" spans="2:7" x14ac:dyDescent="0.4">
      <c r="B17" s="3"/>
      <c r="C17" s="7" t="s">
        <v>34</v>
      </c>
      <c r="D17" s="7">
        <v>0</v>
      </c>
      <c r="E17" s="9"/>
      <c r="F17" s="9"/>
      <c r="G17" s="3"/>
    </row>
    <row r="18" spans="2:7" x14ac:dyDescent="0.4">
      <c r="B18" s="3"/>
      <c r="C18" s="7" t="s">
        <v>6</v>
      </c>
      <c r="D18" s="7">
        <v>0.5</v>
      </c>
      <c r="E18" s="9"/>
      <c r="F18" s="9"/>
      <c r="G18" s="3"/>
    </row>
    <row r="19" spans="2:7" x14ac:dyDescent="0.4">
      <c r="D19" s="11"/>
      <c r="E19" s="11"/>
      <c r="F19" s="3"/>
      <c r="G19" s="3"/>
    </row>
    <row r="20" spans="2:7" x14ac:dyDescent="0.4">
      <c r="D20" s="11"/>
      <c r="E20" s="11"/>
      <c r="F20" s="3"/>
      <c r="G20" s="3"/>
    </row>
    <row r="21" spans="2:7" x14ac:dyDescent="0.4">
      <c r="D21" s="11"/>
      <c r="E21" s="11"/>
      <c r="F21" s="3"/>
      <c r="G21" s="3"/>
    </row>
    <row r="22" spans="2:7" x14ac:dyDescent="0.4">
      <c r="D22" s="3"/>
      <c r="E22" s="11"/>
      <c r="F22" s="3"/>
      <c r="G22" s="3"/>
    </row>
  </sheetData>
  <phoneticPr fontId="3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H9"/>
  <sheetViews>
    <sheetView workbookViewId="0">
      <pane ySplit="7" topLeftCell="A8" activePane="bottomLeft" state="frozen"/>
      <selection pane="bottomLeft" activeCell="E10" sqref="E10"/>
    </sheetView>
  </sheetViews>
  <sheetFormatPr defaultColWidth="3.625" defaultRowHeight="18.75" x14ac:dyDescent="0.4"/>
  <cols>
    <col min="1" max="1" width="3.625" style="24" customWidth="1"/>
    <col min="2" max="2" width="9.625" style="27" customWidth="1"/>
    <col min="3" max="7" width="9.625" style="24" customWidth="1"/>
    <col min="8" max="8" width="80.625" style="24" customWidth="1"/>
    <col min="9" max="16384" width="3.625" style="24"/>
  </cols>
  <sheetData>
    <row r="1" spans="2:8" s="13" customFormat="1" x14ac:dyDescent="0.4">
      <c r="B1" s="12"/>
    </row>
    <row r="2" spans="2:8" s="13" customFormat="1" ht="24" x14ac:dyDescent="0.4">
      <c r="B2" s="14"/>
      <c r="C2" s="13" t="s">
        <v>15</v>
      </c>
      <c r="D2" s="15"/>
      <c r="E2" s="13" t="s">
        <v>16</v>
      </c>
    </row>
    <row r="3" spans="2:8" s="13" customFormat="1" x14ac:dyDescent="0.4">
      <c r="B3" s="12"/>
    </row>
    <row r="4" spans="2:8" s="13" customFormat="1" x14ac:dyDescent="0.4">
      <c r="B4" s="12"/>
      <c r="C4" s="16" t="s">
        <v>17</v>
      </c>
      <c r="E4" s="17" t="s">
        <v>18</v>
      </c>
      <c r="F4" s="18" t="s">
        <v>30</v>
      </c>
      <c r="G4" s="18" t="s">
        <v>19</v>
      </c>
    </row>
    <row r="5" spans="2:8" s="13" customFormat="1" x14ac:dyDescent="0.4">
      <c r="B5" s="12"/>
      <c r="C5" s="19">
        <f>F5-E5</f>
        <v>0</v>
      </c>
      <c r="E5" s="20">
        <f>SUM(テーブル81461873986275[精算])</f>
        <v>0</v>
      </c>
      <c r="F5" s="21">
        <f>SUM(テーブル81461873986275[相手])</f>
        <v>0</v>
      </c>
      <c r="G5" s="21">
        <f>SUM(テーブル81461873986275[自分])</f>
        <v>0</v>
      </c>
      <c r="H5" s="22" t="str">
        <f ca="1">IF(
  OR(
    31&lt;DATE(B2,D2+1,15)-TODAY(),DATE(B2,D2+1,15)-TODAY()&lt;0
  ),"年月が合ってない",IF(
    DATE(B2,D2+1,15)-TODAY()=0,"〆日",IF(
      OR(
        1&lt;=DATE(B2,D2+1,15)-TODAY(),DATE(B2,D2+1,15)-TODAY()&lt;=31
      ),"〆日まであと"&amp;DATE(B2,D2+1,15)-TODAY()&amp;"日"
    )
  )
)</f>
        <v>年月が合ってない</v>
      </c>
    </row>
    <row r="7" spans="2:8" x14ac:dyDescent="0.4">
      <c r="B7" s="23" t="s">
        <v>20</v>
      </c>
      <c r="C7" s="3" t="s">
        <v>21</v>
      </c>
      <c r="D7" s="3" t="s">
        <v>22</v>
      </c>
      <c r="E7" s="24" t="s">
        <v>23</v>
      </c>
      <c r="F7" s="24" t="s">
        <v>27</v>
      </c>
      <c r="G7" s="24" t="s">
        <v>25</v>
      </c>
      <c r="H7" s="24" t="s">
        <v>24</v>
      </c>
    </row>
    <row r="8" spans="2:8" hidden="1" x14ac:dyDescent="0.4">
      <c r="B8" s="25"/>
      <c r="C8" s="11"/>
      <c r="D8" s="11"/>
      <c r="E8" s="26"/>
      <c r="F8" s="26" t="str">
        <f>IFERROR(IF(テーブル81461873986275[[#This Row],[精算]]&lt;&gt;"","",B8*VLOOKUP(テーブル81461873986275[[#This Row],[支払]]&amp;テーブル81461873986275[[#This Row],[実際]],テーブル!$C$4:$F$12,4,0)),"")</f>
        <v/>
      </c>
      <c r="G8" s="26" t="str">
        <f>IFERROR(IF(テーブル81461873986275[[#This Row],[精算]]&lt;&gt;"","",B8*VLOOKUP(D8,テーブル!$C$16:$D$18,2,0)),"")</f>
        <v/>
      </c>
      <c r="H8" s="26"/>
    </row>
    <row r="9" spans="2:8" x14ac:dyDescent="0.4">
      <c r="B9" s="26"/>
      <c r="C9" s="28"/>
      <c r="D9" s="28"/>
      <c r="E9" s="26"/>
      <c r="F9" s="26" t="str">
        <f>IFERROR(IF(テーブル81461873986275[[#This Row],[精算]]&lt;&gt;"","",B9*VLOOKUP(テーブル81461873986275[[#This Row],[支払]]&amp;テーブル81461873986275[[#This Row],[実際]],テーブル!$C$4:$F$12,4,0)),"")</f>
        <v/>
      </c>
      <c r="G9" s="26" t="str">
        <f>IFERROR(IF(テーブル81461873986275[[#This Row],[精算]]&lt;&gt;"","",B9*VLOOKUP(D9,テーブル!$C$16:$D$18,2,0)),"")</f>
        <v/>
      </c>
      <c r="H9" s="26"/>
    </row>
  </sheetData>
  <phoneticPr fontId="3"/>
  <conditionalFormatting sqref="H5">
    <cfRule type="expression" dxfId="15" priority="1">
      <formula>DAY(TODAY())=15</formula>
    </cfRule>
  </conditionalFormatting>
  <dataValidations count="3">
    <dataValidation type="list" allowBlank="1" showInputMessage="1" showErrorMessage="1" sqref="D2">
      <formula1>"1,2,3,4,5,6,7,8,9,10,11,12"</formula1>
    </dataValidation>
    <dataValidation type="list" allowBlank="1" showInputMessage="1" showErrorMessage="1" sqref="D8:D9">
      <formula1>"まるに,優水に,二人に"</formula1>
    </dataValidation>
    <dataValidation type="list" allowBlank="1" showInputMessage="1" showErrorMessage="1" sqref="C8:C9">
      <formula1>"まるが,優水が,二人で"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※当Excel概要</vt:lpstr>
      <vt:lpstr>※当Excel説明</vt:lpstr>
      <vt:lpstr>2021年07月期</vt:lpstr>
      <vt:lpstr>2021年08月期</vt:lpstr>
      <vt:lpstr>2021年09月期</vt:lpstr>
      <vt:lpstr>テーブル</vt:lpstr>
      <vt:lpstr>テンプレート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sub.address.n01.20ntw@gmail.com</dc:creator>
  <cp:lastModifiedBy>student</cp:lastModifiedBy>
  <cp:lastPrinted>2021-10-01T06:04:41Z</cp:lastPrinted>
  <dcterms:created xsi:type="dcterms:W3CDTF">2021-04-15T09:44:44Z</dcterms:created>
  <dcterms:modified xsi:type="dcterms:W3CDTF">2021-10-04T05:50:38Z</dcterms:modified>
</cp:coreProperties>
</file>